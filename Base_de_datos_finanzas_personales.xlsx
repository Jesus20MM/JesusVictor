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8e9d158fee738eb/Escritorio/02_Personal/Finanzas practicas/Finanzas libro 1/ProyectoFinanzas/"/>
    </mc:Choice>
  </mc:AlternateContent>
  <xr:revisionPtr revIDLastSave="1" documentId="11_042DB46D7C8895CFC4CE9A4A2A8BD4CC64FBD28F" xr6:coauthVersionLast="47" xr6:coauthVersionMax="47" xr10:uidLastSave="{8CA6DC70-86AA-463F-9102-41ABBF82A59C}"/>
  <bookViews>
    <workbookView xWindow="-120" yWindow="-120" windowWidth="29040" windowHeight="15720" xr2:uid="{00000000-000D-0000-FFFF-FFFF00000000}"/>
  </bookViews>
  <sheets>
    <sheet name="Transacciones_fact" sheetId="1" r:id="rId1"/>
    <sheet name="Categorias" sheetId="2" r:id="rId2"/>
    <sheet name="Tipo" sheetId="3" r:id="rId3"/>
    <sheet name="Cuentas" sheetId="4" r:id="rId4"/>
    <sheet name="Detalle" sheetId="5" r:id="rId5"/>
    <sheet name="Control" sheetId="6" r:id="rId6"/>
    <sheet name="Disponible_desnormalizada" sheetId="7" r:id="rId7"/>
    <sheet name="Dinero_total_desnormalizado" sheetId="8" r:id="rId8"/>
    <sheet name="Pruebas" sheetId="9" r:id="rId9"/>
  </sheets>
  <definedNames>
    <definedName name="_xlnm._FilterDatabase" localSheetId="4" hidden="1">Detalle!$A$1:$B$49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8" l="1"/>
  <c r="D5" i="8"/>
  <c r="D4" i="8"/>
  <c r="D3" i="8"/>
  <c r="C3" i="8"/>
  <c r="D2" i="8"/>
  <c r="A4" i="7"/>
  <c r="B4" i="7" s="1"/>
  <c r="C3" i="7"/>
  <c r="E3" i="7" s="1"/>
  <c r="C4" i="7" s="1"/>
  <c r="E4" i="7" s="1"/>
  <c r="C5" i="7" s="1"/>
  <c r="E5" i="7" s="1"/>
  <c r="C6" i="7" s="1"/>
  <c r="E6" i="7" s="1"/>
  <c r="C7" i="7" s="1"/>
  <c r="E7" i="7" s="1"/>
  <c r="C8" i="7" s="1"/>
  <c r="E8" i="7" s="1"/>
  <c r="C9" i="7" s="1"/>
  <c r="E9" i="7" s="1"/>
  <c r="C10" i="7" s="1"/>
  <c r="E10" i="7" s="1"/>
  <c r="C11" i="7" s="1"/>
  <c r="E11" i="7" s="1"/>
  <c r="C12" i="7" s="1"/>
  <c r="E12" i="7" s="1"/>
  <c r="C13" i="7" s="1"/>
  <c r="E13" i="7" s="1"/>
  <c r="C14" i="7" s="1"/>
  <c r="E14" i="7" s="1"/>
  <c r="C15" i="7" s="1"/>
  <c r="E15" i="7" s="1"/>
  <c r="C16" i="7" s="1"/>
  <c r="E16" i="7" s="1"/>
  <c r="C17" i="7" s="1"/>
  <c r="B3" i="7"/>
  <c r="A3" i="7"/>
  <c r="E2" i="7"/>
  <c r="B2" i="7"/>
  <c r="A5" i="7" l="1"/>
  <c r="A6" i="7" l="1"/>
  <c r="B5" i="7"/>
  <c r="A7" i="7" l="1"/>
  <c r="B6" i="7"/>
  <c r="B7" i="7" l="1"/>
  <c r="A8" i="7"/>
  <c r="A9" i="7" l="1"/>
  <c r="B8" i="7"/>
  <c r="A10" i="7" l="1"/>
  <c r="B9" i="7"/>
  <c r="B10" i="7" l="1"/>
  <c r="A11" i="7"/>
  <c r="A12" i="7" l="1"/>
  <c r="B11" i="7"/>
  <c r="A13" i="7" l="1"/>
  <c r="B12" i="7"/>
  <c r="B13" i="7" l="1"/>
  <c r="A14" i="7"/>
  <c r="A15" i="7" l="1"/>
  <c r="B14" i="7"/>
  <c r="B15" i="7" l="1"/>
  <c r="A16" i="7"/>
  <c r="B16" i="7" l="1"/>
  <c r="A17" i="7"/>
  <c r="A18" i="7" l="1"/>
  <c r="B17" i="7"/>
  <c r="B18" i="7" l="1"/>
  <c r="A19" i="7"/>
  <c r="B19" i="7" l="1"/>
  <c r="A20" i="7"/>
  <c r="A21" i="7" l="1"/>
  <c r="B21" i="7" s="1"/>
  <c r="B20" i="7"/>
</calcChain>
</file>

<file path=xl/sharedStrings.xml><?xml version="1.0" encoding="utf-8"?>
<sst xmlns="http://schemas.openxmlformats.org/spreadsheetml/2006/main" count="137" uniqueCount="109">
  <si>
    <t>id_transaccion</t>
  </si>
  <si>
    <t>fecha_id</t>
  </si>
  <si>
    <t>categoria_id</t>
  </si>
  <si>
    <t>tipo_id</t>
  </si>
  <si>
    <t>cuenta_id</t>
  </si>
  <si>
    <t>detalle_id</t>
  </si>
  <si>
    <t>control_id</t>
  </si>
  <si>
    <t>monto</t>
  </si>
  <si>
    <t>Null</t>
  </si>
  <si>
    <t>categoria_id_aux</t>
  </si>
  <si>
    <t>tipo_id_aux</t>
  </si>
  <si>
    <t>cuenta_id_aux</t>
  </si>
  <si>
    <t>detalle_id_aux</t>
  </si>
  <si>
    <t>control_id_aux</t>
  </si>
  <si>
    <t>desconocido</t>
  </si>
  <si>
    <t>pagos</t>
  </si>
  <si>
    <t>gasto</t>
  </si>
  <si>
    <t>efectivo</t>
  </si>
  <si>
    <t>saldo</t>
  </si>
  <si>
    <t>variables</t>
  </si>
  <si>
    <t>salario</t>
  </si>
  <si>
    <t>ingreso</t>
  </si>
  <si>
    <t>salario papa</t>
  </si>
  <si>
    <t>comida</t>
  </si>
  <si>
    <t>tienda</t>
  </si>
  <si>
    <t>mercado pago</t>
  </si>
  <si>
    <t>educacion</t>
  </si>
  <si>
    <t>udemy</t>
  </si>
  <si>
    <t>clases</t>
  </si>
  <si>
    <t>otro</t>
  </si>
  <si>
    <t>mensuales</t>
  </si>
  <si>
    <t>nachos</t>
  </si>
  <si>
    <t>despensa personal</t>
  </si>
  <si>
    <t>monitor</t>
  </si>
  <si>
    <t>transporte</t>
  </si>
  <si>
    <t>transporte escuela</t>
  </si>
  <si>
    <t>comida rapida</t>
  </si>
  <si>
    <t>youtube premium</t>
  </si>
  <si>
    <t>google drive</t>
  </si>
  <si>
    <t>one drive</t>
  </si>
  <si>
    <t>celular</t>
  </si>
  <si>
    <t>entretenimiento</t>
  </si>
  <si>
    <t>bbva</t>
  </si>
  <si>
    <t>chat gpt</t>
  </si>
  <si>
    <t>hsbc</t>
  </si>
  <si>
    <t>trabajo</t>
  </si>
  <si>
    <t>regalos</t>
  </si>
  <si>
    <t>medico y salud</t>
  </si>
  <si>
    <t>medicamento</t>
  </si>
  <si>
    <t>inversiones</t>
  </si>
  <si>
    <t>didi cuenta</t>
  </si>
  <si>
    <t>didi inversion</t>
  </si>
  <si>
    <t>inversion</t>
  </si>
  <si>
    <t>up si vale</t>
  </si>
  <si>
    <t>yeen</t>
  </si>
  <si>
    <t>pelo</t>
  </si>
  <si>
    <t>tarjeta credito (nu)</t>
  </si>
  <si>
    <t>ventilador</t>
  </si>
  <si>
    <t>despensa familiar</t>
  </si>
  <si>
    <t>contrato</t>
  </si>
  <si>
    <t>tamales</t>
  </si>
  <si>
    <t>pastel</t>
  </si>
  <si>
    <t>mama</t>
  </si>
  <si>
    <t>pasaje yeendy</t>
  </si>
  <si>
    <t>agua</t>
  </si>
  <si>
    <t>cerveza</t>
  </si>
  <si>
    <t>tianguis</t>
  </si>
  <si>
    <t>gas</t>
  </si>
  <si>
    <t>comida mama</t>
  </si>
  <si>
    <t>didi</t>
  </si>
  <si>
    <t>dori</t>
  </si>
  <si>
    <t>gta6</t>
  </si>
  <si>
    <t>semana santa</t>
  </si>
  <si>
    <t>regalo</t>
  </si>
  <si>
    <t>veterinario</t>
  </si>
  <si>
    <t>revolut</t>
  </si>
  <si>
    <t>papeleria</t>
  </si>
  <si>
    <t>pan</t>
  </si>
  <si>
    <t>teclado</t>
  </si>
  <si>
    <t>utilidades</t>
  </si>
  <si>
    <t>negocio comida local</t>
  </si>
  <si>
    <t>pizza</t>
  </si>
  <si>
    <t>dama</t>
  </si>
  <si>
    <t>coctel</t>
  </si>
  <si>
    <t>categoria</t>
  </si>
  <si>
    <t>ropa y cuidados</t>
  </si>
  <si>
    <t xml:space="preserve">personal </t>
  </si>
  <si>
    <t>tipo</t>
  </si>
  <si>
    <t>cuenta</t>
  </si>
  <si>
    <t>tipo_cuenta</t>
  </si>
  <si>
    <t>debito</t>
  </si>
  <si>
    <t>credito</t>
  </si>
  <si>
    <t>tarjeta credito (vexi)</t>
  </si>
  <si>
    <t>vales</t>
  </si>
  <si>
    <t>detalle</t>
  </si>
  <si>
    <t>id_control</t>
  </si>
  <si>
    <t>control_categoria</t>
  </si>
  <si>
    <t>Fecha</t>
  </si>
  <si>
    <t>Rango_fecha</t>
  </si>
  <si>
    <t>Disponible para la semana</t>
  </si>
  <si>
    <t>Gastado en variables</t>
  </si>
  <si>
    <t>Sobrante</t>
  </si>
  <si>
    <t>Efectivo</t>
  </si>
  <si>
    <t>Cuentas</t>
  </si>
  <si>
    <t>Total</t>
  </si>
  <si>
    <t>(Todas)</t>
  </si>
  <si>
    <t>Años</t>
  </si>
  <si>
    <t>Trimestres</t>
  </si>
  <si>
    <t>Suma de 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</si>
</sst>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F800]dddd\,\ mmmm\ dd\,\ yyyy"/>
    <numFmt numFmtId="165" formatCode="_-&quot;$&quot;* #,##0_-;\-&quot;$&quot;* #,##0_-;_-&quot;$&quot;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3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2" xfId="0" applyBorder="1"/>
    <xf numFmtId="0" fontId="0" fillId="0" borderId="0" xfId="0" pivotButton="1"/>
    <xf numFmtId="0" fontId="0" fillId="0" borderId="3" xfId="0" applyBorder="1"/>
    <xf numFmtId="0" fontId="0" fillId="0" borderId="1" xfId="0" applyBorder="1"/>
    <xf numFmtId="0" fontId="2" fillId="0" borderId="0" xfId="0" applyFont="1" applyAlignment="1">
      <alignment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1" applyNumberFormat="1" applyFont="1"/>
    <xf numFmtId="165" fontId="0" fillId="0" borderId="0" xfId="0" applyNumberFormat="1"/>
    <xf numFmtId="14" fontId="0" fillId="0" borderId="0" xfId="0" applyNumberFormat="1"/>
    <xf numFmtId="0" fontId="0" fillId="0" borderId="0" xfId="0"/>
    <xf numFmtId="0" fontId="4" fillId="0" borderId="4" xfId="0" applyFont="1" applyBorder="1" applyAlignment="1">
      <alignment horizontal="center" vertical="top"/>
    </xf>
    <xf numFmtId="14" fontId="4" fillId="0" borderId="4" xfId="0" applyNumberFormat="1" applyFont="1" applyBorder="1" applyAlignment="1">
      <alignment horizontal="center" vertical="top"/>
    </xf>
    <xf numFmtId="1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-R5" refreshedDate="46133.900335648148" createdVersion="7" refreshedVersion="7" minRefreshableVersion="3" recordCount="312" xr:uid="{00000000-000A-0000-FFFF-FFFF00000000}">
  <cacheSource type="worksheet">
    <worksheetSource ref="A1:N313" sheet="Transacciones_fact"/>
  </cacheSource>
  <cacheFields count="16">
    <cacheField name="id_transaccion" numFmtId="0">
      <sharedItems containsSemiMixedTypes="0" containsString="0" containsNumber="1" containsInteger="1" minValue="1" maxValue="311"/>
    </cacheField>
    <cacheField name="fecha_id" numFmtId="14">
      <sharedItems containsSemiMixedTypes="0" containsNonDate="0" containsDate="1" containsString="0" minDate="2024-08-01T00:00:00" maxDate="2026-04-20T00:00:00" count="155">
        <d v="2024-08-01T00:00:00"/>
        <d v="2024-09-01T00:00:00"/>
        <d v="2024-10-01T00:00:00"/>
        <d v="2024-11-01T00:00:00"/>
        <d v="2024-12-01T00:00:00"/>
        <d v="2025-09-22T00:00:00"/>
        <d v="2025-09-23T00:00:00"/>
        <d v="2025-09-25T00:00:00"/>
        <d v="2025-09-26T00:00:00"/>
        <d v="2025-09-27T00:00:00"/>
        <d v="2025-09-28T00:00:00"/>
        <d v="2025-09-29T00:00:00"/>
        <d v="2025-10-01T00:00:00"/>
        <d v="2025-10-02T00:00:00"/>
        <d v="2025-10-04T00:00:00"/>
        <d v="2025-10-06T00:00:00"/>
        <d v="2025-10-07T00:00:00"/>
        <d v="2025-10-09T00:00:00"/>
        <d v="2025-10-10T00:00:00"/>
        <d v="2025-10-12T00:00:00"/>
        <d v="2025-10-13T00:00:00"/>
        <d v="2025-10-16T00:00:00"/>
        <d v="2025-10-18T00:00:00"/>
        <d v="2025-10-19T00:00:00"/>
        <d v="2025-11-27T00:00:00"/>
        <d v="2025-11-29T00:00:00"/>
        <d v="2025-11-30T00:00:00"/>
        <d v="2025-10-31T00:00:00"/>
        <d v="2025-11-03T00:00:00"/>
        <d v="2025-11-06T00:00:00"/>
        <d v="2025-11-08T00:00:00"/>
        <d v="2025-11-09T00:00:00"/>
        <d v="2025-11-10T00:00:00"/>
        <d v="2025-11-11T00:00:00"/>
        <d v="2025-11-14T00:00:00"/>
        <d v="2025-11-15T00:00:00"/>
        <d v="2025-11-16T00:00:00"/>
        <d v="2025-11-17T00:00:00"/>
        <d v="2025-11-21T00:00:00"/>
        <d v="2025-11-22T00:00:00"/>
        <d v="2025-11-23T00:00:00"/>
        <d v="2025-12-01T00:00:00"/>
        <d v="2025-12-02T00:00:00"/>
        <d v="2025-12-04T00:00:00"/>
        <d v="2025-12-05T00:00:00"/>
        <d v="2025-12-06T00:00:00"/>
        <d v="2025-12-07T00:00:00"/>
        <d v="2025-12-08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3T00:00:00"/>
        <d v="2026-01-24T00:00:00"/>
        <d v="2026-01-25T00:00:00"/>
        <d v="2026-01-26T00:00:00"/>
        <d v="2026-01-28T00:00:00"/>
        <d v="2026-01-30T00:00:00"/>
        <d v="2026-01-31T00:00:00"/>
        <d v="2026-02-01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3T00:00:00"/>
        <d v="2026-02-14T00:00:00"/>
        <d v="2026-02-15T00:00:00"/>
        <d v="2026-02-16T00:00:00"/>
        <d v="2026-02-18T00:00:00"/>
        <d v="2026-02-20T00:00:00"/>
        <d v="2026-02-21T00:00:00"/>
        <d v="2026-02-22T00:00:00"/>
        <d v="2026-02-23T00:00:00"/>
        <d v="2026-02-24T00:00:00"/>
        <d v="2026-02-25T00:00:00"/>
        <d v="2026-02-27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2T00:00:00"/>
        <d v="2026-03-13T00:00:00"/>
        <d v="2026-03-14T00:00:00"/>
        <d v="2026-03-15T00:00:00"/>
        <d v="2026-03-16T00:00:00"/>
        <d v="2026-03-20T00:00:00"/>
        <d v="2026-03-21T00:00:00"/>
        <d v="2026-03-22T00:00:00"/>
        <d v="2026-03-23T00:00:00"/>
        <d v="2026-03-24T00:00:00"/>
        <d v="2026-03-25T00:00:00"/>
        <d v="2026-03-27T00:00:00"/>
        <d v="2026-03-28T00:00:00"/>
        <d v="2026-03-29T00:00:00"/>
        <d v="2026-03-30T00:00:00"/>
        <d v="2026-04-01T00:00:00"/>
        <d v="2026-04-02T00:00:00"/>
        <d v="2026-04-04T00:00:00"/>
        <d v="2026-04-05T00:00:00"/>
        <d v="2026-04-06T00:00:00"/>
        <d v="2026-04-08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</sharedItems>
      <fieldGroup par="15" base="1">
        <rangePr groupBy="months" startDate="2024-08-01T00:00:00" endDate="2026-04-20T00:00:00"/>
        <groupItems count="14">
          <s v="&lt;01/08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0/04/2026"/>
        </groupItems>
      </fieldGroup>
    </cacheField>
    <cacheField name="categoria_id" numFmtId="0">
      <sharedItems containsSemiMixedTypes="0" containsString="0" containsNumber="1" containsInteger="1" minValue="1" maxValue="15"/>
    </cacheField>
    <cacheField name="tipo_id" numFmtId="0">
      <sharedItems containsSemiMixedTypes="0" containsString="0" containsNumber="1" containsInteger="1" minValue="0" maxValue="2" count="3">
        <n v="0"/>
        <n v="1"/>
        <n v="2"/>
      </sharedItems>
    </cacheField>
    <cacheField name="cuenta_id" numFmtId="0">
      <sharedItems containsSemiMixedTypes="0" containsString="0" containsNumber="1" containsInteger="1" minValue="0" maxValue="9"/>
    </cacheField>
    <cacheField name="detalle_id" numFmtId="0">
      <sharedItems containsSemiMixedTypes="0" containsString="0" containsNumber="1" containsInteger="1" minValue="1" maxValue="39"/>
    </cacheField>
    <cacheField name="control_id" numFmtId="0">
      <sharedItems containsSemiMixedTypes="0" containsString="0" containsNumber="1" containsInteger="1" minValue="0" maxValue="4"/>
    </cacheField>
    <cacheField name="monto" numFmtId="0">
      <sharedItems containsSemiMixedTypes="0" containsString="0" containsNumber="1" minValue="10" maxValue="6200"/>
    </cacheField>
    <cacheField name="Null" numFmtId="0">
      <sharedItems/>
    </cacheField>
    <cacheField name="categoria_id_aux" numFmtId="0">
      <sharedItems/>
    </cacheField>
    <cacheField name="tipo_id_aux" numFmtId="0">
      <sharedItems count="3">
        <s v="desconocido"/>
        <s v="gasto"/>
        <s v="ingreso"/>
      </sharedItems>
    </cacheField>
    <cacheField name="cuenta_id_aux" numFmtId="0">
      <sharedItems/>
    </cacheField>
    <cacheField name="detalle_id_aux" numFmtId="0">
      <sharedItems/>
    </cacheField>
    <cacheField name="control_id_aux" numFmtId="0">
      <sharedItems count="5">
        <s v="desconocido"/>
        <s v="variables"/>
        <s v="ingreso"/>
        <s v="mensuales"/>
        <s v="inversion"/>
      </sharedItems>
    </cacheField>
    <cacheField name="Trimestres" numFmtId="0" databaseField="0">
      <fieldGroup base="1">
        <rangePr groupBy="quarters" startDate="2024-08-01T00:00:00" endDate="2026-04-20T00:00:00"/>
        <groupItems count="6">
          <s v="&lt;01/08/2024"/>
          <s v="Trim.1"/>
          <s v="Trim.2"/>
          <s v="Trim.3"/>
          <s v="Trim.4"/>
          <s v="&gt;20/04/2026"/>
        </groupItems>
      </fieldGroup>
    </cacheField>
    <cacheField name="Años" numFmtId="0" databaseField="0">
      <fieldGroup base="1">
        <rangePr groupBy="years" startDate="2024-08-01T00:00:00" endDate="2026-04-20T00:00:00"/>
        <groupItems count="5">
          <s v="&lt;01/08/2024"/>
          <s v="2024"/>
          <s v="2025"/>
          <s v="2026"/>
          <s v="&gt;20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312">
  <r>
    <n v="1"/>
    <x v="0"/>
    <n v="15"/>
    <x v="0"/>
    <n v="0"/>
    <n v="24"/>
    <n v="0"/>
    <n v="233"/>
    <s v="Null"/>
    <s v="desconocido"/>
    <x v="0"/>
    <s v="desconocido"/>
    <s v="desconocido"/>
    <x v="0"/>
  </r>
  <r>
    <n v="2"/>
    <x v="1"/>
    <n v="15"/>
    <x v="0"/>
    <n v="0"/>
    <n v="24"/>
    <n v="0"/>
    <n v="1063"/>
    <s v="Null"/>
    <s v="desconocido"/>
    <x v="0"/>
    <s v="desconocido"/>
    <s v="desconocido"/>
    <x v="0"/>
  </r>
  <r>
    <n v="3"/>
    <x v="2"/>
    <n v="15"/>
    <x v="0"/>
    <n v="0"/>
    <n v="24"/>
    <n v="0"/>
    <n v="5130.5"/>
    <s v="Null"/>
    <s v="desconocido"/>
    <x v="0"/>
    <s v="desconocido"/>
    <s v="desconocido"/>
    <x v="0"/>
  </r>
  <r>
    <n v="4"/>
    <x v="3"/>
    <n v="15"/>
    <x v="0"/>
    <n v="0"/>
    <n v="24"/>
    <n v="0"/>
    <n v="783"/>
    <s v="Null"/>
    <s v="desconocido"/>
    <x v="0"/>
    <s v="desconocido"/>
    <s v="desconocido"/>
    <x v="0"/>
  </r>
  <r>
    <n v="5"/>
    <x v="4"/>
    <n v="15"/>
    <x v="0"/>
    <n v="0"/>
    <n v="24"/>
    <n v="0"/>
    <n v="1080"/>
    <s v="Null"/>
    <s v="desconocido"/>
    <x v="0"/>
    <s v="desconocido"/>
    <s v="desconocido"/>
    <x v="0"/>
  </r>
  <r>
    <n v="6"/>
    <x v="5"/>
    <n v="2"/>
    <x v="1"/>
    <n v="2"/>
    <n v="2"/>
    <n v="2"/>
    <n v="50"/>
    <s v="Null"/>
    <s v="pagos"/>
    <x v="1"/>
    <s v="efectivo"/>
    <s v="saldo"/>
    <x v="1"/>
  </r>
  <r>
    <n v="7"/>
    <x v="5"/>
    <n v="12"/>
    <x v="2"/>
    <n v="2"/>
    <n v="21"/>
    <n v="4"/>
    <n v="50"/>
    <s v="Null"/>
    <s v="salario"/>
    <x v="2"/>
    <s v="efectivo"/>
    <s v="salario papa"/>
    <x v="2"/>
  </r>
  <r>
    <n v="8"/>
    <x v="5"/>
    <n v="4"/>
    <x v="1"/>
    <n v="2"/>
    <n v="12"/>
    <n v="2"/>
    <n v="36"/>
    <s v="Null"/>
    <s v="comida"/>
    <x v="1"/>
    <s v="efectivo"/>
    <s v="tienda"/>
    <x v="1"/>
  </r>
  <r>
    <n v="9"/>
    <x v="5"/>
    <n v="2"/>
    <x v="1"/>
    <n v="2"/>
    <n v="2"/>
    <n v="2"/>
    <n v="50"/>
    <s v="Null"/>
    <s v="pagos"/>
    <x v="1"/>
    <s v="efectivo"/>
    <s v="saldo"/>
    <x v="1"/>
  </r>
  <r>
    <n v="10"/>
    <x v="6"/>
    <n v="12"/>
    <x v="2"/>
    <n v="2"/>
    <n v="21"/>
    <n v="4"/>
    <n v="50"/>
    <s v="Null"/>
    <s v="salario"/>
    <x v="2"/>
    <s v="efectivo"/>
    <s v="salario papa"/>
    <x v="2"/>
  </r>
  <r>
    <n v="11"/>
    <x v="7"/>
    <n v="4"/>
    <x v="1"/>
    <n v="2"/>
    <n v="12"/>
    <n v="2"/>
    <n v="40"/>
    <s v="Null"/>
    <s v="comida"/>
    <x v="1"/>
    <s v="efectivo"/>
    <s v="tienda"/>
    <x v="1"/>
  </r>
  <r>
    <n v="12"/>
    <x v="7"/>
    <n v="2"/>
    <x v="1"/>
    <n v="5"/>
    <n v="2"/>
    <n v="2"/>
    <n v="30"/>
    <s v="Null"/>
    <s v="pagos"/>
    <x v="1"/>
    <s v="mercado pago"/>
    <s v="saldo"/>
    <x v="1"/>
  </r>
  <r>
    <n v="13"/>
    <x v="8"/>
    <n v="9"/>
    <x v="1"/>
    <n v="5"/>
    <n v="20"/>
    <n v="2"/>
    <n v="170"/>
    <s v="Null"/>
    <s v="educacion"/>
    <x v="1"/>
    <s v="mercado pago"/>
    <s v="udemy"/>
    <x v="1"/>
  </r>
  <r>
    <n v="14"/>
    <x v="9"/>
    <n v="12"/>
    <x v="2"/>
    <n v="2"/>
    <n v="21"/>
    <n v="4"/>
    <n v="100"/>
    <s v="Null"/>
    <s v="salario"/>
    <x v="2"/>
    <s v="efectivo"/>
    <s v="salario papa"/>
    <x v="2"/>
  </r>
  <r>
    <n v="15"/>
    <x v="10"/>
    <n v="4"/>
    <x v="1"/>
    <n v="2"/>
    <n v="12"/>
    <n v="2"/>
    <n v="20"/>
    <s v="Null"/>
    <s v="comida"/>
    <x v="1"/>
    <s v="efectivo"/>
    <s v="tienda"/>
    <x v="1"/>
  </r>
  <r>
    <n v="16"/>
    <x v="10"/>
    <n v="12"/>
    <x v="2"/>
    <n v="2"/>
    <n v="19"/>
    <n v="4"/>
    <n v="100"/>
    <s v="Null"/>
    <s v="salario"/>
    <x v="2"/>
    <s v="efectivo"/>
    <s v="clases"/>
    <x v="2"/>
  </r>
  <r>
    <n v="17"/>
    <x v="10"/>
    <n v="4"/>
    <x v="1"/>
    <n v="2"/>
    <n v="12"/>
    <n v="2"/>
    <n v="30"/>
    <s v="Null"/>
    <s v="comida"/>
    <x v="1"/>
    <s v="efectivo"/>
    <s v="tienda"/>
    <x v="1"/>
  </r>
  <r>
    <n v="18"/>
    <x v="11"/>
    <n v="2"/>
    <x v="1"/>
    <n v="5"/>
    <n v="1"/>
    <n v="2"/>
    <n v="117"/>
    <s v="Null"/>
    <s v="pagos"/>
    <x v="1"/>
    <s v="mercado pago"/>
    <s v="celular"/>
    <x v="1"/>
  </r>
  <r>
    <n v="19"/>
    <x v="11"/>
    <n v="12"/>
    <x v="2"/>
    <n v="2"/>
    <n v="21"/>
    <n v="4"/>
    <n v="50"/>
    <s v="Null"/>
    <s v="salario"/>
    <x v="2"/>
    <s v="efectivo"/>
    <s v="salario papa"/>
    <x v="2"/>
  </r>
  <r>
    <n v="20"/>
    <x v="12"/>
    <n v="12"/>
    <x v="2"/>
    <n v="2"/>
    <n v="21"/>
    <n v="4"/>
    <n v="100"/>
    <s v="Null"/>
    <s v="salario"/>
    <x v="2"/>
    <s v="efectivo"/>
    <s v="salario papa"/>
    <x v="2"/>
  </r>
  <r>
    <n v="21"/>
    <x v="13"/>
    <n v="12"/>
    <x v="2"/>
    <n v="2"/>
    <n v="21"/>
    <n v="4"/>
    <n v="150"/>
    <s v="Null"/>
    <s v="salario"/>
    <x v="2"/>
    <s v="efectivo"/>
    <s v="salario papa"/>
    <x v="2"/>
  </r>
  <r>
    <n v="22"/>
    <x v="13"/>
    <n v="4"/>
    <x v="1"/>
    <n v="2"/>
    <n v="12"/>
    <n v="2"/>
    <n v="40"/>
    <s v="Null"/>
    <s v="comida"/>
    <x v="1"/>
    <s v="efectivo"/>
    <s v="tienda"/>
    <x v="1"/>
  </r>
  <r>
    <n v="23"/>
    <x v="14"/>
    <n v="14"/>
    <x v="1"/>
    <n v="2"/>
    <n v="24"/>
    <n v="1"/>
    <n v="255"/>
    <s v="Null"/>
    <s v="otro"/>
    <x v="1"/>
    <s v="efectivo"/>
    <s v="desconocido"/>
    <x v="3"/>
  </r>
  <r>
    <n v="24"/>
    <x v="15"/>
    <n v="12"/>
    <x v="2"/>
    <n v="2"/>
    <n v="21"/>
    <n v="4"/>
    <n v="50"/>
    <s v="Null"/>
    <s v="salario"/>
    <x v="2"/>
    <s v="efectivo"/>
    <s v="salario papa"/>
    <x v="2"/>
  </r>
  <r>
    <n v="25"/>
    <x v="15"/>
    <n v="2"/>
    <x v="1"/>
    <n v="2"/>
    <n v="21"/>
    <n v="2"/>
    <n v="50"/>
    <s v="Null"/>
    <s v="pagos"/>
    <x v="1"/>
    <s v="efectivo"/>
    <s v="salario papa"/>
    <x v="1"/>
  </r>
  <r>
    <n v="26"/>
    <x v="16"/>
    <n v="12"/>
    <x v="2"/>
    <n v="2"/>
    <n v="21"/>
    <n v="4"/>
    <n v="45"/>
    <s v="Null"/>
    <s v="salario"/>
    <x v="2"/>
    <s v="efectivo"/>
    <s v="salario papa"/>
    <x v="2"/>
  </r>
  <r>
    <n v="27"/>
    <x v="17"/>
    <n v="12"/>
    <x v="2"/>
    <n v="2"/>
    <n v="21"/>
    <n v="4"/>
    <n v="50"/>
    <s v="Null"/>
    <s v="salario"/>
    <x v="2"/>
    <s v="efectivo"/>
    <s v="salario papa"/>
    <x v="2"/>
  </r>
  <r>
    <n v="28"/>
    <x v="18"/>
    <n v="12"/>
    <x v="2"/>
    <n v="2"/>
    <n v="21"/>
    <n v="4"/>
    <n v="100"/>
    <s v="Null"/>
    <s v="salario"/>
    <x v="2"/>
    <s v="efectivo"/>
    <s v="salario papa"/>
    <x v="2"/>
  </r>
  <r>
    <n v="29"/>
    <x v="18"/>
    <n v="4"/>
    <x v="1"/>
    <n v="2"/>
    <n v="8"/>
    <n v="2"/>
    <n v="90"/>
    <s v="Null"/>
    <s v="comida"/>
    <x v="1"/>
    <s v="efectivo"/>
    <s v="nachos"/>
    <x v="1"/>
  </r>
  <r>
    <n v="30"/>
    <x v="19"/>
    <n v="1"/>
    <x v="1"/>
    <n v="2"/>
    <n v="28"/>
    <n v="2"/>
    <n v="250"/>
    <s v="Null"/>
    <s v="despensa personal"/>
    <x v="1"/>
    <s v="efectivo"/>
    <s v="despensa personal"/>
    <x v="1"/>
  </r>
  <r>
    <n v="31"/>
    <x v="19"/>
    <n v="12"/>
    <x v="2"/>
    <n v="2"/>
    <n v="21"/>
    <n v="4"/>
    <n v="100"/>
    <s v="Null"/>
    <s v="salario"/>
    <x v="2"/>
    <s v="efectivo"/>
    <s v="salario papa"/>
    <x v="2"/>
  </r>
  <r>
    <n v="32"/>
    <x v="20"/>
    <n v="2"/>
    <x v="1"/>
    <n v="2"/>
    <n v="24"/>
    <n v="2"/>
    <n v="50"/>
    <s v="Null"/>
    <s v="pagos"/>
    <x v="1"/>
    <s v="efectivo"/>
    <s v="desconocido"/>
    <x v="1"/>
  </r>
  <r>
    <n v="33"/>
    <x v="20"/>
    <n v="12"/>
    <x v="2"/>
    <n v="2"/>
    <n v="21"/>
    <n v="4"/>
    <n v="100"/>
    <s v="Null"/>
    <s v="salario"/>
    <x v="2"/>
    <s v="efectivo"/>
    <s v="salario papa"/>
    <x v="2"/>
  </r>
  <r>
    <n v="34"/>
    <x v="21"/>
    <n v="12"/>
    <x v="2"/>
    <n v="2"/>
    <n v="21"/>
    <n v="4"/>
    <n v="115"/>
    <s v="Null"/>
    <s v="salario"/>
    <x v="2"/>
    <s v="efectivo"/>
    <s v="salario papa"/>
    <x v="2"/>
  </r>
  <r>
    <n v="35"/>
    <x v="22"/>
    <n v="4"/>
    <x v="1"/>
    <n v="2"/>
    <n v="8"/>
    <n v="2"/>
    <n v="100"/>
    <s v="Null"/>
    <s v="comida"/>
    <x v="1"/>
    <s v="efectivo"/>
    <s v="nachos"/>
    <x v="1"/>
  </r>
  <r>
    <n v="36"/>
    <x v="23"/>
    <n v="12"/>
    <x v="2"/>
    <n v="2"/>
    <n v="21"/>
    <n v="4"/>
    <n v="100"/>
    <s v="Null"/>
    <s v="salario"/>
    <x v="2"/>
    <s v="efectivo"/>
    <s v="salario papa"/>
    <x v="2"/>
  </r>
  <r>
    <n v="37"/>
    <x v="23"/>
    <n v="4"/>
    <x v="1"/>
    <n v="2"/>
    <n v="12"/>
    <n v="2"/>
    <n v="50"/>
    <s v="Null"/>
    <s v="comida"/>
    <x v="1"/>
    <s v="efectivo"/>
    <s v="tienda"/>
    <x v="1"/>
  </r>
  <r>
    <n v="38"/>
    <x v="24"/>
    <n v="12"/>
    <x v="2"/>
    <n v="2"/>
    <n v="21"/>
    <n v="4"/>
    <n v="150"/>
    <s v="Null"/>
    <s v="salario"/>
    <x v="2"/>
    <s v="efectivo"/>
    <s v="salario papa"/>
    <x v="2"/>
  </r>
  <r>
    <n v="39"/>
    <x v="24"/>
    <n v="2"/>
    <x v="1"/>
    <n v="2"/>
    <n v="24"/>
    <n v="2"/>
    <n v="50"/>
    <s v="Null"/>
    <s v="pagos"/>
    <x v="1"/>
    <s v="efectivo"/>
    <s v="desconocido"/>
    <x v="1"/>
  </r>
  <r>
    <n v="40"/>
    <x v="25"/>
    <n v="12"/>
    <x v="2"/>
    <n v="2"/>
    <n v="21"/>
    <n v="4"/>
    <n v="50"/>
    <s v="Null"/>
    <s v="salario"/>
    <x v="2"/>
    <s v="efectivo"/>
    <s v="salario papa"/>
    <x v="2"/>
  </r>
  <r>
    <n v="41"/>
    <x v="26"/>
    <n v="4"/>
    <x v="1"/>
    <n v="2"/>
    <n v="12"/>
    <n v="0"/>
    <n v="30"/>
    <s v="Null"/>
    <s v="comida"/>
    <x v="1"/>
    <s v="efectivo"/>
    <s v="tienda"/>
    <x v="0"/>
  </r>
  <r>
    <n v="42"/>
    <x v="27"/>
    <n v="2"/>
    <x v="1"/>
    <n v="5"/>
    <n v="30"/>
    <n v="2"/>
    <n v="40"/>
    <s v="Null"/>
    <s v="pagos"/>
    <x v="1"/>
    <s v="mercado pago"/>
    <s v="one drive"/>
    <x v="1"/>
  </r>
  <r>
    <n v="43"/>
    <x v="27"/>
    <n v="4"/>
    <x v="1"/>
    <n v="2"/>
    <n v="12"/>
    <n v="2"/>
    <n v="34"/>
    <s v="Null"/>
    <s v="comida"/>
    <x v="1"/>
    <s v="efectivo"/>
    <s v="tienda"/>
    <x v="1"/>
  </r>
  <r>
    <n v="44"/>
    <x v="28"/>
    <n v="2"/>
    <x v="1"/>
    <n v="2"/>
    <n v="12"/>
    <n v="2"/>
    <n v="50"/>
    <s v="Null"/>
    <s v="pagos"/>
    <x v="1"/>
    <s v="efectivo"/>
    <s v="tienda"/>
    <x v="1"/>
  </r>
  <r>
    <n v="45"/>
    <x v="28"/>
    <n v="12"/>
    <x v="2"/>
    <n v="2"/>
    <n v="21"/>
    <n v="4"/>
    <n v="100"/>
    <s v="Null"/>
    <s v="salario"/>
    <x v="2"/>
    <s v="efectivo"/>
    <s v="salario papa"/>
    <x v="2"/>
  </r>
  <r>
    <n v="46"/>
    <x v="28"/>
    <n v="10"/>
    <x v="1"/>
    <n v="5"/>
    <n v="36"/>
    <n v="2"/>
    <n v="85"/>
    <s v="Null"/>
    <s v="transporte"/>
    <x v="1"/>
    <s v="mercado pago"/>
    <s v="transporte escuela"/>
    <x v="1"/>
  </r>
  <r>
    <n v="47"/>
    <x v="29"/>
    <n v="14"/>
    <x v="1"/>
    <n v="5"/>
    <n v="24"/>
    <n v="0"/>
    <n v="58"/>
    <s v="Null"/>
    <s v="otro"/>
    <x v="1"/>
    <s v="mercado pago"/>
    <s v="desconocido"/>
    <x v="0"/>
  </r>
  <r>
    <n v="48"/>
    <x v="30"/>
    <n v="14"/>
    <x v="1"/>
    <n v="2"/>
    <n v="24"/>
    <n v="0"/>
    <n v="170"/>
    <s v="Null"/>
    <s v="otro"/>
    <x v="1"/>
    <s v="efectivo"/>
    <s v="desconocido"/>
    <x v="0"/>
  </r>
  <r>
    <n v="49"/>
    <x v="30"/>
    <n v="4"/>
    <x v="1"/>
    <n v="2"/>
    <n v="24"/>
    <n v="0"/>
    <n v="234"/>
    <s v="Null"/>
    <s v="comida"/>
    <x v="1"/>
    <s v="efectivo"/>
    <s v="desconocido"/>
    <x v="0"/>
  </r>
  <r>
    <n v="50"/>
    <x v="31"/>
    <n v="1"/>
    <x v="1"/>
    <n v="2"/>
    <n v="24"/>
    <n v="2"/>
    <n v="350"/>
    <s v="Null"/>
    <s v="despensa personal"/>
    <x v="1"/>
    <s v="efectivo"/>
    <s v="desconocido"/>
    <x v="1"/>
  </r>
  <r>
    <n v="51"/>
    <x v="31"/>
    <n v="12"/>
    <x v="2"/>
    <n v="2"/>
    <n v="24"/>
    <n v="4"/>
    <n v="100"/>
    <s v="Null"/>
    <s v="salario"/>
    <x v="2"/>
    <s v="efectivo"/>
    <s v="desconocido"/>
    <x v="2"/>
  </r>
  <r>
    <n v="52"/>
    <x v="32"/>
    <n v="2"/>
    <x v="1"/>
    <n v="2"/>
    <n v="24"/>
    <n v="2"/>
    <n v="50"/>
    <s v="Null"/>
    <s v="pagos"/>
    <x v="1"/>
    <s v="efectivo"/>
    <s v="desconocido"/>
    <x v="1"/>
  </r>
  <r>
    <n v="53"/>
    <x v="33"/>
    <n v="14"/>
    <x v="1"/>
    <n v="2"/>
    <n v="24"/>
    <n v="0"/>
    <n v="20"/>
    <s v="Null"/>
    <s v="otro"/>
    <x v="1"/>
    <s v="efectivo"/>
    <s v="desconocido"/>
    <x v="0"/>
  </r>
  <r>
    <n v="54"/>
    <x v="33"/>
    <n v="12"/>
    <x v="2"/>
    <n v="2"/>
    <n v="24"/>
    <n v="4"/>
    <n v="100"/>
    <s v="Null"/>
    <s v="salario"/>
    <x v="2"/>
    <s v="efectivo"/>
    <s v="desconocido"/>
    <x v="2"/>
  </r>
  <r>
    <n v="55"/>
    <x v="33"/>
    <n v="14"/>
    <x v="1"/>
    <n v="2"/>
    <n v="24"/>
    <n v="0"/>
    <n v="30"/>
    <s v="Null"/>
    <s v="otro"/>
    <x v="1"/>
    <s v="efectivo"/>
    <s v="desconocido"/>
    <x v="0"/>
  </r>
  <r>
    <n v="56"/>
    <x v="34"/>
    <n v="12"/>
    <x v="2"/>
    <n v="2"/>
    <n v="24"/>
    <n v="4"/>
    <n v="50"/>
    <s v="Null"/>
    <s v="salario"/>
    <x v="2"/>
    <s v="efectivo"/>
    <s v="desconocido"/>
    <x v="2"/>
  </r>
  <r>
    <n v="57"/>
    <x v="35"/>
    <n v="4"/>
    <x v="1"/>
    <n v="2"/>
    <n v="24"/>
    <n v="2"/>
    <n v="174"/>
    <s v="Null"/>
    <s v="comida"/>
    <x v="1"/>
    <s v="efectivo"/>
    <s v="desconocido"/>
    <x v="1"/>
  </r>
  <r>
    <n v="58"/>
    <x v="36"/>
    <n v="12"/>
    <x v="2"/>
    <n v="2"/>
    <n v="24"/>
    <n v="4"/>
    <n v="100"/>
    <s v="Null"/>
    <s v="salario"/>
    <x v="2"/>
    <s v="efectivo"/>
    <s v="desconocido"/>
    <x v="2"/>
  </r>
  <r>
    <n v="59"/>
    <x v="36"/>
    <n v="4"/>
    <x v="1"/>
    <n v="2"/>
    <n v="24"/>
    <n v="2"/>
    <n v="60"/>
    <s v="Null"/>
    <s v="comida"/>
    <x v="1"/>
    <s v="efectivo"/>
    <s v="desconocido"/>
    <x v="1"/>
  </r>
  <r>
    <n v="60"/>
    <x v="37"/>
    <n v="12"/>
    <x v="2"/>
    <n v="2"/>
    <n v="24"/>
    <n v="4"/>
    <n v="100"/>
    <s v="Null"/>
    <s v="salario"/>
    <x v="2"/>
    <s v="efectivo"/>
    <s v="desconocido"/>
    <x v="2"/>
  </r>
  <r>
    <n v="61"/>
    <x v="37"/>
    <n v="2"/>
    <x v="1"/>
    <n v="2"/>
    <n v="24"/>
    <n v="2"/>
    <n v="150"/>
    <s v="Null"/>
    <s v="pagos"/>
    <x v="1"/>
    <s v="efectivo"/>
    <s v="desconocido"/>
    <x v="1"/>
  </r>
  <r>
    <n v="62"/>
    <x v="38"/>
    <n v="12"/>
    <x v="2"/>
    <n v="2"/>
    <n v="24"/>
    <n v="4"/>
    <n v="50"/>
    <s v="Null"/>
    <s v="salario"/>
    <x v="2"/>
    <s v="efectivo"/>
    <s v="desconocido"/>
    <x v="2"/>
  </r>
  <r>
    <n v="63"/>
    <x v="39"/>
    <n v="4"/>
    <x v="1"/>
    <n v="2"/>
    <n v="24"/>
    <n v="2"/>
    <n v="100"/>
    <s v="Null"/>
    <s v="comida"/>
    <x v="1"/>
    <s v="efectivo"/>
    <s v="desconocido"/>
    <x v="1"/>
  </r>
  <r>
    <n v="64"/>
    <x v="40"/>
    <n v="12"/>
    <x v="2"/>
    <n v="2"/>
    <n v="24"/>
    <n v="4"/>
    <n v="100"/>
    <s v="Null"/>
    <s v="salario"/>
    <x v="2"/>
    <s v="efectivo"/>
    <s v="desconocido"/>
    <x v="2"/>
  </r>
  <r>
    <n v="65"/>
    <x v="40"/>
    <n v="4"/>
    <x v="1"/>
    <n v="2"/>
    <n v="24"/>
    <n v="2"/>
    <n v="78"/>
    <s v="Null"/>
    <s v="comida"/>
    <x v="1"/>
    <s v="efectivo"/>
    <s v="desconocido"/>
    <x v="1"/>
  </r>
  <r>
    <n v="66"/>
    <x v="25"/>
    <n v="12"/>
    <x v="2"/>
    <n v="2"/>
    <n v="24"/>
    <n v="4"/>
    <n v="400"/>
    <s v="Null"/>
    <s v="salario"/>
    <x v="2"/>
    <s v="efectivo"/>
    <s v="desconocido"/>
    <x v="2"/>
  </r>
  <r>
    <n v="67"/>
    <x v="25"/>
    <n v="14"/>
    <x v="1"/>
    <n v="2"/>
    <n v="24"/>
    <n v="0"/>
    <n v="260"/>
    <s v="Null"/>
    <s v="otro"/>
    <x v="1"/>
    <s v="efectivo"/>
    <s v="desconocido"/>
    <x v="0"/>
  </r>
  <r>
    <n v="68"/>
    <x v="26"/>
    <n v="14"/>
    <x v="1"/>
    <n v="2"/>
    <n v="24"/>
    <n v="0"/>
    <n v="110"/>
    <s v="Null"/>
    <s v="otro"/>
    <x v="1"/>
    <s v="efectivo"/>
    <s v="desconocido"/>
    <x v="0"/>
  </r>
  <r>
    <n v="69"/>
    <x v="26"/>
    <n v="2"/>
    <x v="1"/>
    <n v="5"/>
    <n v="24"/>
    <n v="2"/>
    <n v="100"/>
    <s v="Null"/>
    <s v="pagos"/>
    <x v="1"/>
    <s v="mercado pago"/>
    <s v="desconocido"/>
    <x v="1"/>
  </r>
  <r>
    <n v="70"/>
    <x v="26"/>
    <n v="2"/>
    <x v="1"/>
    <n v="5"/>
    <n v="24"/>
    <n v="2"/>
    <n v="17"/>
    <s v="Null"/>
    <s v="pagos"/>
    <x v="1"/>
    <s v="mercado pago"/>
    <s v="desconocido"/>
    <x v="1"/>
  </r>
  <r>
    <n v="71"/>
    <x v="26"/>
    <n v="2"/>
    <x v="1"/>
    <n v="5"/>
    <n v="24"/>
    <n v="2"/>
    <n v="40"/>
    <s v="Null"/>
    <s v="pagos"/>
    <x v="1"/>
    <s v="mercado pago"/>
    <s v="desconocido"/>
    <x v="1"/>
  </r>
  <r>
    <n v="72"/>
    <x v="41"/>
    <n v="12"/>
    <x v="2"/>
    <n v="2"/>
    <n v="24"/>
    <n v="4"/>
    <n v="100"/>
    <s v="Null"/>
    <s v="salario"/>
    <x v="2"/>
    <s v="efectivo"/>
    <s v="desconocido"/>
    <x v="2"/>
  </r>
  <r>
    <n v="73"/>
    <x v="41"/>
    <n v="2"/>
    <x v="1"/>
    <n v="5"/>
    <n v="24"/>
    <n v="2"/>
    <n v="117"/>
    <s v="Null"/>
    <s v="pagos"/>
    <x v="1"/>
    <s v="mercado pago"/>
    <s v="desconocido"/>
    <x v="1"/>
  </r>
  <r>
    <n v="74"/>
    <x v="41"/>
    <n v="2"/>
    <x v="1"/>
    <n v="5"/>
    <n v="24"/>
    <n v="2"/>
    <n v="95"/>
    <s v="Null"/>
    <s v="pagos"/>
    <x v="1"/>
    <s v="mercado pago"/>
    <s v="desconocido"/>
    <x v="1"/>
  </r>
  <r>
    <n v="75"/>
    <x v="42"/>
    <n v="4"/>
    <x v="1"/>
    <n v="2"/>
    <n v="24"/>
    <n v="2"/>
    <n v="28"/>
    <s v="Null"/>
    <s v="comida"/>
    <x v="1"/>
    <s v="efectivo"/>
    <s v="desconocido"/>
    <x v="1"/>
  </r>
  <r>
    <n v="76"/>
    <x v="43"/>
    <n v="12"/>
    <x v="2"/>
    <n v="2"/>
    <n v="24"/>
    <n v="4"/>
    <n v="100"/>
    <s v="Null"/>
    <s v="salario"/>
    <x v="2"/>
    <s v="efectivo"/>
    <s v="desconocido"/>
    <x v="2"/>
  </r>
  <r>
    <n v="77"/>
    <x v="43"/>
    <n v="2"/>
    <x v="1"/>
    <n v="2"/>
    <n v="24"/>
    <n v="2"/>
    <n v="30"/>
    <s v="Null"/>
    <s v="pagos"/>
    <x v="1"/>
    <s v="efectivo"/>
    <s v="desconocido"/>
    <x v="1"/>
  </r>
  <r>
    <n v="78"/>
    <x v="43"/>
    <n v="4"/>
    <x v="1"/>
    <n v="2"/>
    <n v="24"/>
    <n v="2"/>
    <n v="154"/>
    <s v="Null"/>
    <s v="comida"/>
    <x v="1"/>
    <s v="efectivo"/>
    <s v="desconocido"/>
    <x v="1"/>
  </r>
  <r>
    <n v="79"/>
    <x v="43"/>
    <n v="14"/>
    <x v="1"/>
    <n v="2"/>
    <n v="24"/>
    <n v="0"/>
    <n v="100"/>
    <s v="Null"/>
    <s v="otro"/>
    <x v="1"/>
    <s v="efectivo"/>
    <s v="desconocido"/>
    <x v="0"/>
  </r>
  <r>
    <n v="80"/>
    <x v="44"/>
    <n v="10"/>
    <x v="1"/>
    <n v="5"/>
    <n v="24"/>
    <n v="2"/>
    <n v="165"/>
    <s v="Null"/>
    <s v="transporte"/>
    <x v="1"/>
    <s v="mercado pago"/>
    <s v="desconocido"/>
    <x v="1"/>
  </r>
  <r>
    <n v="81"/>
    <x v="45"/>
    <n v="12"/>
    <x v="2"/>
    <n v="2"/>
    <n v="24"/>
    <n v="4"/>
    <n v="50"/>
    <s v="Null"/>
    <s v="salario"/>
    <x v="2"/>
    <s v="efectivo"/>
    <s v="desconocido"/>
    <x v="2"/>
  </r>
  <r>
    <n v="82"/>
    <x v="45"/>
    <n v="1"/>
    <x v="1"/>
    <n v="2"/>
    <n v="24"/>
    <n v="2"/>
    <n v="370"/>
    <s v="Null"/>
    <s v="despensa personal"/>
    <x v="1"/>
    <s v="efectivo"/>
    <s v="desconocido"/>
    <x v="1"/>
  </r>
  <r>
    <n v="83"/>
    <x v="45"/>
    <n v="4"/>
    <x v="1"/>
    <n v="2"/>
    <n v="24"/>
    <n v="2"/>
    <n v="180"/>
    <s v="Null"/>
    <s v="comida"/>
    <x v="1"/>
    <s v="efectivo"/>
    <s v="desconocido"/>
    <x v="1"/>
  </r>
  <r>
    <n v="84"/>
    <x v="46"/>
    <n v="12"/>
    <x v="2"/>
    <n v="2"/>
    <n v="24"/>
    <n v="4"/>
    <n v="100"/>
    <s v="Null"/>
    <s v="salario"/>
    <x v="2"/>
    <s v="efectivo"/>
    <s v="desconocido"/>
    <x v="2"/>
  </r>
  <r>
    <n v="85"/>
    <x v="46"/>
    <n v="2"/>
    <x v="1"/>
    <n v="2"/>
    <n v="24"/>
    <n v="2"/>
    <n v="30"/>
    <s v="Null"/>
    <s v="pagos"/>
    <x v="1"/>
    <s v="efectivo"/>
    <s v="desconocido"/>
    <x v="1"/>
  </r>
  <r>
    <n v="86"/>
    <x v="47"/>
    <n v="14"/>
    <x v="1"/>
    <n v="2"/>
    <n v="24"/>
    <n v="0"/>
    <n v="50"/>
    <s v="Null"/>
    <s v="otro"/>
    <x v="1"/>
    <s v="efectivo"/>
    <s v="desconocido"/>
    <x v="0"/>
  </r>
  <r>
    <n v="87"/>
    <x v="47"/>
    <n v="2"/>
    <x v="1"/>
    <n v="2"/>
    <n v="24"/>
    <n v="2"/>
    <n v="117"/>
    <s v="Null"/>
    <s v="pagos"/>
    <x v="1"/>
    <s v="efectivo"/>
    <s v="desconocido"/>
    <x v="1"/>
  </r>
  <r>
    <n v="88"/>
    <x v="48"/>
    <n v="12"/>
    <x v="2"/>
    <n v="2"/>
    <n v="24"/>
    <n v="4"/>
    <n v="100"/>
    <s v="Null"/>
    <s v="salario"/>
    <x v="2"/>
    <s v="efectivo"/>
    <s v="desconocido"/>
    <x v="2"/>
  </r>
  <r>
    <n v="89"/>
    <x v="49"/>
    <n v="7"/>
    <x v="1"/>
    <n v="5"/>
    <n v="24"/>
    <n v="2"/>
    <n v="337"/>
    <s v="Null"/>
    <s v="entretenimiento"/>
    <x v="1"/>
    <s v="mercado pago"/>
    <s v="desconocido"/>
    <x v="1"/>
  </r>
  <r>
    <n v="90"/>
    <x v="50"/>
    <n v="4"/>
    <x v="1"/>
    <n v="2"/>
    <n v="24"/>
    <n v="2"/>
    <n v="25"/>
    <s v="Null"/>
    <s v="comida"/>
    <x v="1"/>
    <s v="efectivo"/>
    <s v="desconocido"/>
    <x v="1"/>
  </r>
  <r>
    <n v="91"/>
    <x v="51"/>
    <n v="14"/>
    <x v="2"/>
    <n v="2"/>
    <n v="24"/>
    <n v="4"/>
    <n v="500"/>
    <s v="Null"/>
    <s v="otro"/>
    <x v="2"/>
    <s v="efectivo"/>
    <s v="desconocido"/>
    <x v="2"/>
  </r>
  <r>
    <n v="92"/>
    <x v="51"/>
    <n v="4"/>
    <x v="1"/>
    <n v="2"/>
    <n v="24"/>
    <n v="2"/>
    <n v="147"/>
    <s v="Null"/>
    <s v="comida"/>
    <x v="1"/>
    <s v="efectivo"/>
    <s v="desconocido"/>
    <x v="1"/>
  </r>
  <r>
    <n v="93"/>
    <x v="52"/>
    <n v="12"/>
    <x v="2"/>
    <n v="2"/>
    <n v="24"/>
    <n v="4"/>
    <n v="100"/>
    <s v="Null"/>
    <s v="salario"/>
    <x v="2"/>
    <s v="efectivo"/>
    <s v="desconocido"/>
    <x v="2"/>
  </r>
  <r>
    <n v="94"/>
    <x v="53"/>
    <n v="12"/>
    <x v="2"/>
    <n v="2"/>
    <n v="24"/>
    <n v="4"/>
    <n v="100"/>
    <s v="Null"/>
    <s v="salario"/>
    <x v="2"/>
    <s v="efectivo"/>
    <s v="desconocido"/>
    <x v="2"/>
  </r>
  <r>
    <n v="95"/>
    <x v="53"/>
    <n v="2"/>
    <x v="1"/>
    <n v="2"/>
    <n v="24"/>
    <n v="2"/>
    <n v="117"/>
    <s v="Null"/>
    <s v="pagos"/>
    <x v="1"/>
    <s v="efectivo"/>
    <s v="desconocido"/>
    <x v="1"/>
  </r>
  <r>
    <n v="96"/>
    <x v="54"/>
    <n v="7"/>
    <x v="1"/>
    <n v="5"/>
    <n v="24"/>
    <n v="2"/>
    <n v="400"/>
    <s v="Null"/>
    <s v="entretenimiento"/>
    <x v="1"/>
    <s v="mercado pago"/>
    <s v="desconocido"/>
    <x v="1"/>
  </r>
  <r>
    <n v="97"/>
    <x v="55"/>
    <n v="12"/>
    <x v="2"/>
    <n v="2"/>
    <n v="24"/>
    <n v="4"/>
    <n v="100"/>
    <s v="Null"/>
    <s v="salario"/>
    <x v="2"/>
    <s v="efectivo"/>
    <s v="desconocido"/>
    <x v="2"/>
  </r>
  <r>
    <n v="98"/>
    <x v="55"/>
    <n v="4"/>
    <x v="1"/>
    <n v="2"/>
    <n v="24"/>
    <n v="2"/>
    <n v="315"/>
    <s v="Null"/>
    <s v="comida"/>
    <x v="1"/>
    <s v="efectivo"/>
    <s v="desconocido"/>
    <x v="1"/>
  </r>
  <r>
    <n v="99"/>
    <x v="55"/>
    <n v="10"/>
    <x v="1"/>
    <n v="2"/>
    <n v="24"/>
    <n v="2"/>
    <n v="30"/>
    <s v="Null"/>
    <s v="transporte"/>
    <x v="1"/>
    <s v="efectivo"/>
    <s v="desconocido"/>
    <x v="1"/>
  </r>
  <r>
    <n v="100"/>
    <x v="56"/>
    <n v="12"/>
    <x v="2"/>
    <n v="5"/>
    <n v="24"/>
    <n v="4"/>
    <n v="460"/>
    <s v="Null"/>
    <s v="salario"/>
    <x v="2"/>
    <s v="mercado pago"/>
    <s v="desconocido"/>
    <x v="2"/>
  </r>
  <r>
    <n v="101"/>
    <x v="57"/>
    <n v="12"/>
    <x v="2"/>
    <n v="4"/>
    <n v="24"/>
    <n v="4"/>
    <n v="5300"/>
    <s v="Null"/>
    <s v="salario"/>
    <x v="2"/>
    <s v="hsbc"/>
    <s v="desconocido"/>
    <x v="2"/>
  </r>
  <r>
    <n v="102"/>
    <x v="58"/>
    <n v="11"/>
    <x v="1"/>
    <n v="2"/>
    <n v="24"/>
    <n v="2"/>
    <n v="285"/>
    <s v="Null"/>
    <s v="regalos"/>
    <x v="1"/>
    <s v="efectivo"/>
    <s v="desconocido"/>
    <x v="1"/>
  </r>
  <r>
    <n v="103"/>
    <x v="58"/>
    <n v="4"/>
    <x v="1"/>
    <n v="2"/>
    <n v="24"/>
    <n v="2"/>
    <n v="150"/>
    <s v="Null"/>
    <s v="comida"/>
    <x v="1"/>
    <s v="efectivo"/>
    <s v="desconocido"/>
    <x v="1"/>
  </r>
  <r>
    <n v="104"/>
    <x v="58"/>
    <n v="4"/>
    <x v="1"/>
    <n v="2"/>
    <n v="24"/>
    <n v="2"/>
    <n v="80"/>
    <s v="Null"/>
    <s v="comida"/>
    <x v="1"/>
    <s v="efectivo"/>
    <s v="desconocido"/>
    <x v="1"/>
  </r>
  <r>
    <n v="105"/>
    <x v="59"/>
    <n v="14"/>
    <x v="1"/>
    <n v="2"/>
    <n v="24"/>
    <n v="0"/>
    <n v="60"/>
    <s v="Null"/>
    <s v="otro"/>
    <x v="1"/>
    <s v="efectivo"/>
    <s v="desconocido"/>
    <x v="0"/>
  </r>
  <r>
    <n v="106"/>
    <x v="59"/>
    <n v="11"/>
    <x v="1"/>
    <n v="5"/>
    <n v="24"/>
    <n v="2"/>
    <n v="677"/>
    <s v="Null"/>
    <s v="regalos"/>
    <x v="1"/>
    <s v="mercado pago"/>
    <s v="desconocido"/>
    <x v="1"/>
  </r>
  <r>
    <n v="107"/>
    <x v="59"/>
    <n v="4"/>
    <x v="1"/>
    <n v="2"/>
    <n v="24"/>
    <n v="2"/>
    <n v="37"/>
    <s v="Null"/>
    <s v="comida"/>
    <x v="1"/>
    <s v="efectivo"/>
    <s v="desconocido"/>
    <x v="1"/>
  </r>
  <r>
    <n v="108"/>
    <x v="60"/>
    <n v="14"/>
    <x v="1"/>
    <n v="2"/>
    <n v="24"/>
    <n v="0"/>
    <n v="30"/>
    <s v="Null"/>
    <s v="otro"/>
    <x v="1"/>
    <s v="efectivo"/>
    <s v="desconocido"/>
    <x v="0"/>
  </r>
  <r>
    <n v="109"/>
    <x v="60"/>
    <n v="2"/>
    <x v="1"/>
    <n v="2"/>
    <n v="24"/>
    <n v="2"/>
    <n v="117"/>
    <s v="Null"/>
    <s v="pagos"/>
    <x v="1"/>
    <s v="efectivo"/>
    <s v="desconocido"/>
    <x v="1"/>
  </r>
  <r>
    <n v="110"/>
    <x v="60"/>
    <n v="12"/>
    <x v="2"/>
    <n v="2"/>
    <n v="24"/>
    <n v="4"/>
    <n v="100"/>
    <s v="Null"/>
    <s v="salario"/>
    <x v="2"/>
    <s v="efectivo"/>
    <s v="desconocido"/>
    <x v="2"/>
  </r>
  <r>
    <n v="111"/>
    <x v="61"/>
    <n v="4"/>
    <x v="1"/>
    <n v="2"/>
    <n v="24"/>
    <n v="2"/>
    <n v="40"/>
    <s v="Null"/>
    <s v="comida"/>
    <x v="1"/>
    <s v="efectivo"/>
    <s v="desconocido"/>
    <x v="1"/>
  </r>
  <r>
    <n v="112"/>
    <x v="61"/>
    <n v="4"/>
    <x v="1"/>
    <n v="2"/>
    <n v="24"/>
    <n v="2"/>
    <n v="50"/>
    <s v="Null"/>
    <s v="comida"/>
    <x v="1"/>
    <s v="efectivo"/>
    <s v="desconocido"/>
    <x v="1"/>
  </r>
  <r>
    <n v="113"/>
    <x v="62"/>
    <n v="4"/>
    <x v="1"/>
    <n v="2"/>
    <n v="24"/>
    <n v="2"/>
    <n v="115"/>
    <s v="Null"/>
    <s v="comida"/>
    <x v="1"/>
    <s v="efectivo"/>
    <s v="desconocido"/>
    <x v="1"/>
  </r>
  <r>
    <n v="114"/>
    <x v="63"/>
    <n v="2"/>
    <x v="1"/>
    <n v="5"/>
    <n v="24"/>
    <n v="2"/>
    <n v="17"/>
    <s v="Null"/>
    <s v="pagos"/>
    <x v="1"/>
    <s v="mercado pago"/>
    <s v="desconocido"/>
    <x v="1"/>
  </r>
  <r>
    <n v="115"/>
    <x v="63"/>
    <n v="2"/>
    <x v="1"/>
    <n v="5"/>
    <n v="24"/>
    <n v="2"/>
    <n v="100"/>
    <s v="Null"/>
    <s v="pagos"/>
    <x v="1"/>
    <s v="mercado pago"/>
    <s v="desconocido"/>
    <x v="1"/>
  </r>
  <r>
    <n v="116"/>
    <x v="64"/>
    <n v="13"/>
    <x v="1"/>
    <n v="5"/>
    <n v="24"/>
    <n v="2"/>
    <n v="1321"/>
    <s v="Null"/>
    <s v="personal"/>
    <x v="1"/>
    <s v="mercado pago"/>
    <s v="desconocido"/>
    <x v="1"/>
  </r>
  <r>
    <n v="117"/>
    <x v="65"/>
    <n v="13"/>
    <x v="1"/>
    <n v="2"/>
    <n v="24"/>
    <n v="2"/>
    <n v="550"/>
    <s v="Null"/>
    <s v="personal"/>
    <x v="1"/>
    <s v="efectivo"/>
    <s v="desconocido"/>
    <x v="1"/>
  </r>
  <r>
    <n v="118"/>
    <x v="65"/>
    <n v="6"/>
    <x v="1"/>
    <n v="2"/>
    <n v="24"/>
    <n v="2"/>
    <n v="280"/>
    <s v="Null"/>
    <s v="medico y salud"/>
    <x v="1"/>
    <s v="efectivo"/>
    <s v="desconocido"/>
    <x v="1"/>
  </r>
  <r>
    <n v="119"/>
    <x v="66"/>
    <n v="11"/>
    <x v="1"/>
    <n v="2"/>
    <n v="24"/>
    <n v="2"/>
    <n v="300"/>
    <s v="Null"/>
    <s v="regalos"/>
    <x v="1"/>
    <s v="efectivo"/>
    <s v="desconocido"/>
    <x v="1"/>
  </r>
  <r>
    <n v="120"/>
    <x v="67"/>
    <n v="2"/>
    <x v="1"/>
    <n v="2"/>
    <n v="24"/>
    <n v="2"/>
    <n v="117"/>
    <s v="Null"/>
    <s v="pagos"/>
    <x v="1"/>
    <s v="efectivo"/>
    <s v="desconocido"/>
    <x v="1"/>
  </r>
  <r>
    <n v="121"/>
    <x v="67"/>
    <n v="13"/>
    <x v="1"/>
    <n v="5"/>
    <n v="24"/>
    <n v="2"/>
    <n v="1400"/>
    <s v="Null"/>
    <s v="personal"/>
    <x v="1"/>
    <s v="mercado pago"/>
    <s v="desconocido"/>
    <x v="1"/>
  </r>
  <r>
    <n v="122"/>
    <x v="67"/>
    <n v="13"/>
    <x v="1"/>
    <n v="5"/>
    <n v="24"/>
    <n v="2"/>
    <n v="680"/>
    <s v="Null"/>
    <s v="personal"/>
    <x v="1"/>
    <s v="mercado pago"/>
    <s v="desconocido"/>
    <x v="1"/>
  </r>
  <r>
    <n v="123"/>
    <x v="68"/>
    <n v="12"/>
    <x v="2"/>
    <n v="5"/>
    <n v="24"/>
    <n v="4"/>
    <n v="300"/>
    <s v="Null"/>
    <s v="salario"/>
    <x v="2"/>
    <s v="mercado pago"/>
    <s v="desconocido"/>
    <x v="2"/>
  </r>
  <r>
    <n v="124"/>
    <x v="68"/>
    <n v="12"/>
    <x v="2"/>
    <n v="5"/>
    <n v="24"/>
    <n v="4"/>
    <n v="110"/>
    <s v="Null"/>
    <s v="salario"/>
    <x v="2"/>
    <s v="mercado pago"/>
    <s v="desconocido"/>
    <x v="2"/>
  </r>
  <r>
    <n v="125"/>
    <x v="69"/>
    <n v="2"/>
    <x v="1"/>
    <n v="5"/>
    <n v="24"/>
    <n v="2"/>
    <n v="40"/>
    <s v="Null"/>
    <s v="pagos"/>
    <x v="1"/>
    <s v="mercado pago"/>
    <s v="desconocido"/>
    <x v="1"/>
  </r>
  <r>
    <n v="126"/>
    <x v="69"/>
    <n v="4"/>
    <x v="1"/>
    <n v="2"/>
    <n v="24"/>
    <n v="2"/>
    <n v="38"/>
    <s v="Null"/>
    <s v="comida"/>
    <x v="1"/>
    <s v="efectivo"/>
    <s v="desconocido"/>
    <x v="1"/>
  </r>
  <r>
    <n v="127"/>
    <x v="70"/>
    <n v="14"/>
    <x v="1"/>
    <n v="2"/>
    <n v="24"/>
    <n v="0"/>
    <n v="383"/>
    <s v="Null"/>
    <s v="otro"/>
    <x v="1"/>
    <s v="efectivo"/>
    <s v="desconocido"/>
    <x v="0"/>
  </r>
  <r>
    <n v="128"/>
    <x v="71"/>
    <n v="12"/>
    <x v="2"/>
    <n v="5"/>
    <n v="24"/>
    <n v="4"/>
    <n v="200"/>
    <s v="Null"/>
    <s v="salario"/>
    <x v="2"/>
    <s v="mercado pago"/>
    <s v="desconocido"/>
    <x v="2"/>
  </r>
  <r>
    <n v="129"/>
    <x v="72"/>
    <n v="13"/>
    <x v="1"/>
    <n v="2"/>
    <n v="24"/>
    <n v="2"/>
    <n v="90"/>
    <s v="Null"/>
    <s v="personal"/>
    <x v="1"/>
    <s v="efectivo"/>
    <s v="desconocido"/>
    <x v="1"/>
  </r>
  <r>
    <n v="130"/>
    <x v="72"/>
    <n v="14"/>
    <x v="1"/>
    <n v="2"/>
    <n v="24"/>
    <n v="0"/>
    <n v="165"/>
    <s v="Null"/>
    <s v="otro"/>
    <x v="1"/>
    <s v="efectivo"/>
    <s v="desconocido"/>
    <x v="0"/>
  </r>
  <r>
    <n v="131"/>
    <x v="72"/>
    <n v="13"/>
    <x v="1"/>
    <n v="2"/>
    <n v="24"/>
    <n v="2"/>
    <n v="250"/>
    <s v="Null"/>
    <s v="personal"/>
    <x v="1"/>
    <s v="efectivo"/>
    <s v="desconocido"/>
    <x v="1"/>
  </r>
  <r>
    <n v="132"/>
    <x v="72"/>
    <n v="13"/>
    <x v="1"/>
    <n v="2"/>
    <n v="24"/>
    <n v="2"/>
    <n v="105"/>
    <s v="Null"/>
    <s v="personal"/>
    <x v="1"/>
    <s v="efectivo"/>
    <s v="desconocido"/>
    <x v="1"/>
  </r>
  <r>
    <n v="133"/>
    <x v="73"/>
    <n v="13"/>
    <x v="1"/>
    <n v="2"/>
    <n v="24"/>
    <n v="2"/>
    <n v="200"/>
    <s v="Null"/>
    <s v="personal"/>
    <x v="1"/>
    <s v="efectivo"/>
    <s v="desconocido"/>
    <x v="1"/>
  </r>
  <r>
    <n v="134"/>
    <x v="74"/>
    <n v="13"/>
    <x v="1"/>
    <n v="5"/>
    <n v="24"/>
    <n v="2"/>
    <n v="910"/>
    <s v="Null"/>
    <s v="personal"/>
    <x v="1"/>
    <s v="mercado pago"/>
    <s v="desconocido"/>
    <x v="1"/>
  </r>
  <r>
    <n v="135"/>
    <x v="75"/>
    <n v="4"/>
    <x v="1"/>
    <n v="2"/>
    <n v="24"/>
    <n v="2"/>
    <n v="400"/>
    <s v="Null"/>
    <s v="comida"/>
    <x v="1"/>
    <s v="efectivo"/>
    <s v="desconocido"/>
    <x v="1"/>
  </r>
  <r>
    <n v="136"/>
    <x v="76"/>
    <n v="14"/>
    <x v="1"/>
    <n v="2"/>
    <n v="24"/>
    <n v="0"/>
    <n v="100"/>
    <s v="Null"/>
    <s v="otro"/>
    <x v="1"/>
    <s v="efectivo"/>
    <s v="desconocido"/>
    <x v="0"/>
  </r>
  <r>
    <n v="137"/>
    <x v="77"/>
    <n v="4"/>
    <x v="1"/>
    <n v="2"/>
    <n v="24"/>
    <n v="2"/>
    <n v="100"/>
    <s v="Null"/>
    <s v="comida"/>
    <x v="1"/>
    <s v="efectivo"/>
    <s v="desconocido"/>
    <x v="1"/>
  </r>
  <r>
    <n v="138"/>
    <x v="78"/>
    <n v="14"/>
    <x v="1"/>
    <n v="2"/>
    <n v="24"/>
    <n v="0"/>
    <n v="150"/>
    <s v="Null"/>
    <s v="otro"/>
    <x v="1"/>
    <s v="efectivo"/>
    <s v="desconocido"/>
    <x v="0"/>
  </r>
  <r>
    <n v="139"/>
    <x v="79"/>
    <n v="12"/>
    <x v="2"/>
    <n v="5"/>
    <n v="24"/>
    <n v="4"/>
    <n v="300"/>
    <s v="Null"/>
    <s v="salario"/>
    <x v="2"/>
    <s v="mercado pago"/>
    <s v="desconocido"/>
    <x v="2"/>
  </r>
  <r>
    <n v="140"/>
    <x v="79"/>
    <n v="12"/>
    <x v="2"/>
    <n v="4"/>
    <n v="24"/>
    <n v="4"/>
    <n v="6100"/>
    <s v="Null"/>
    <s v="salario"/>
    <x v="2"/>
    <s v="hsbc"/>
    <s v="desconocido"/>
    <x v="2"/>
  </r>
  <r>
    <n v="141"/>
    <x v="79"/>
    <n v="2"/>
    <x v="1"/>
    <n v="2"/>
    <n v="24"/>
    <n v="2"/>
    <n v="117"/>
    <s v="Null"/>
    <s v="pagos"/>
    <x v="1"/>
    <s v="efectivo"/>
    <s v="desconocido"/>
    <x v="1"/>
  </r>
  <r>
    <n v="142"/>
    <x v="80"/>
    <n v="4"/>
    <x v="1"/>
    <n v="2"/>
    <n v="24"/>
    <n v="2"/>
    <n v="50"/>
    <s v="Null"/>
    <s v="comida"/>
    <x v="1"/>
    <s v="efectivo"/>
    <s v="desconocido"/>
    <x v="1"/>
  </r>
  <r>
    <n v="143"/>
    <x v="80"/>
    <n v="2"/>
    <x v="1"/>
    <n v="5"/>
    <n v="24"/>
    <n v="2"/>
    <n v="117"/>
    <s v="Null"/>
    <s v="pagos"/>
    <x v="1"/>
    <s v="mercado pago"/>
    <s v="desconocido"/>
    <x v="1"/>
  </r>
  <r>
    <n v="144"/>
    <x v="81"/>
    <n v="4"/>
    <x v="1"/>
    <n v="2"/>
    <n v="24"/>
    <n v="2"/>
    <n v="20"/>
    <s v="Null"/>
    <s v="comida"/>
    <x v="1"/>
    <s v="efectivo"/>
    <s v="desconocido"/>
    <x v="1"/>
  </r>
  <r>
    <n v="145"/>
    <x v="81"/>
    <n v="14"/>
    <x v="1"/>
    <n v="2"/>
    <n v="24"/>
    <n v="0"/>
    <n v="23"/>
    <s v="Null"/>
    <s v="otro"/>
    <x v="1"/>
    <s v="efectivo"/>
    <s v="desconocido"/>
    <x v="0"/>
  </r>
  <r>
    <n v="146"/>
    <x v="82"/>
    <n v="14"/>
    <x v="1"/>
    <n v="5"/>
    <n v="24"/>
    <n v="0"/>
    <n v="30"/>
    <s v="Null"/>
    <s v="otro"/>
    <x v="1"/>
    <s v="mercado pago"/>
    <s v="desconocido"/>
    <x v="0"/>
  </r>
  <r>
    <n v="147"/>
    <x v="83"/>
    <n v="14"/>
    <x v="1"/>
    <n v="2"/>
    <n v="24"/>
    <n v="0"/>
    <n v="120"/>
    <s v="Null"/>
    <s v="otro"/>
    <x v="1"/>
    <s v="efectivo"/>
    <s v="desconocido"/>
    <x v="0"/>
  </r>
  <r>
    <n v="148"/>
    <x v="84"/>
    <n v="4"/>
    <x v="1"/>
    <n v="5"/>
    <n v="24"/>
    <n v="2"/>
    <n v="210"/>
    <s v="Null"/>
    <s v="comida"/>
    <x v="1"/>
    <s v="mercado pago"/>
    <s v="desconocido"/>
    <x v="1"/>
  </r>
  <r>
    <n v="149"/>
    <x v="85"/>
    <n v="13"/>
    <x v="1"/>
    <n v="2"/>
    <n v="24"/>
    <n v="2"/>
    <n v="3500"/>
    <s v="Null"/>
    <s v="personal"/>
    <x v="1"/>
    <s v="efectivo"/>
    <s v="desconocido"/>
    <x v="1"/>
  </r>
  <r>
    <n v="150"/>
    <x v="86"/>
    <n v="2"/>
    <x v="1"/>
    <n v="2"/>
    <n v="24"/>
    <n v="2"/>
    <n v="117"/>
    <s v="Null"/>
    <s v="pagos"/>
    <x v="1"/>
    <s v="efectivo"/>
    <s v="desconocido"/>
    <x v="1"/>
  </r>
  <r>
    <n v="151"/>
    <x v="86"/>
    <n v="14"/>
    <x v="1"/>
    <n v="2"/>
    <n v="24"/>
    <n v="0"/>
    <n v="20"/>
    <s v="Null"/>
    <s v="otro"/>
    <x v="1"/>
    <s v="efectivo"/>
    <s v="desconocido"/>
    <x v="0"/>
  </r>
  <r>
    <n v="152"/>
    <x v="87"/>
    <n v="10"/>
    <x v="1"/>
    <n v="2"/>
    <n v="24"/>
    <n v="2"/>
    <n v="65"/>
    <s v="Null"/>
    <s v="transporte"/>
    <x v="1"/>
    <s v="efectivo"/>
    <s v="desconocido"/>
    <x v="1"/>
  </r>
  <r>
    <n v="153"/>
    <x v="87"/>
    <n v="4"/>
    <x v="1"/>
    <n v="2"/>
    <n v="24"/>
    <n v="2"/>
    <n v="60"/>
    <s v="Null"/>
    <s v="comida"/>
    <x v="1"/>
    <s v="efectivo"/>
    <s v="desconocido"/>
    <x v="1"/>
  </r>
  <r>
    <n v="154"/>
    <x v="87"/>
    <n v="12"/>
    <x v="2"/>
    <n v="4"/>
    <n v="4"/>
    <n v="4"/>
    <n v="6200"/>
    <s v="Null"/>
    <s v="salario"/>
    <x v="2"/>
    <s v="hsbc"/>
    <s v="trabajo"/>
    <x v="2"/>
  </r>
  <r>
    <n v="155"/>
    <x v="88"/>
    <n v="13"/>
    <x v="1"/>
    <n v="2"/>
    <n v="24"/>
    <n v="2"/>
    <n v="150"/>
    <s v="Null"/>
    <s v="personal"/>
    <x v="1"/>
    <s v="efectivo"/>
    <s v="desconocido"/>
    <x v="1"/>
  </r>
  <r>
    <n v="156"/>
    <x v="89"/>
    <n v="14"/>
    <x v="1"/>
    <n v="2"/>
    <n v="24"/>
    <n v="0"/>
    <n v="155"/>
    <s v="Null"/>
    <s v="otro"/>
    <x v="1"/>
    <s v="efectivo"/>
    <s v="desconocido"/>
    <x v="0"/>
  </r>
  <r>
    <n v="157"/>
    <x v="89"/>
    <n v="2"/>
    <x v="1"/>
    <n v="5"/>
    <n v="24"/>
    <n v="2"/>
    <n v="99"/>
    <s v="Null"/>
    <s v="pagos"/>
    <x v="1"/>
    <s v="mercado pago"/>
    <s v="desconocido"/>
    <x v="1"/>
  </r>
  <r>
    <n v="158"/>
    <x v="89"/>
    <n v="4"/>
    <x v="1"/>
    <n v="2"/>
    <n v="24"/>
    <n v="2"/>
    <n v="290"/>
    <s v="Null"/>
    <s v="comida"/>
    <x v="1"/>
    <s v="efectivo"/>
    <s v="desconocido"/>
    <x v="1"/>
  </r>
  <r>
    <n v="159"/>
    <x v="90"/>
    <n v="2"/>
    <x v="1"/>
    <n v="5"/>
    <n v="24"/>
    <n v="2"/>
    <n v="17"/>
    <s v="Null"/>
    <s v="pagos"/>
    <x v="1"/>
    <s v="mercado pago"/>
    <s v="desconocido"/>
    <x v="1"/>
  </r>
  <r>
    <n v="160"/>
    <x v="90"/>
    <n v="10"/>
    <x v="1"/>
    <n v="2"/>
    <n v="24"/>
    <n v="2"/>
    <n v="26"/>
    <s v="Null"/>
    <s v="transporte"/>
    <x v="1"/>
    <s v="efectivo"/>
    <s v="desconocido"/>
    <x v="1"/>
  </r>
  <r>
    <n v="161"/>
    <x v="90"/>
    <n v="3"/>
    <x v="2"/>
    <n v="5"/>
    <n v="10"/>
    <n v="4"/>
    <n v="54"/>
    <s v="Null"/>
    <s v="inversiones"/>
    <x v="2"/>
    <s v="mercado pago"/>
    <s v="mercado pago"/>
    <x v="2"/>
  </r>
  <r>
    <n v="162"/>
    <x v="91"/>
    <n v="10"/>
    <x v="1"/>
    <n v="5"/>
    <n v="24"/>
    <n v="2"/>
    <n v="20"/>
    <s v="Null"/>
    <s v="transporte"/>
    <x v="1"/>
    <s v="mercado pago"/>
    <s v="desconocido"/>
    <x v="1"/>
  </r>
  <r>
    <n v="163"/>
    <x v="91"/>
    <n v="2"/>
    <x v="1"/>
    <n v="2"/>
    <n v="24"/>
    <n v="2"/>
    <n v="117"/>
    <s v="Null"/>
    <s v="pagos"/>
    <x v="1"/>
    <s v="efectivo"/>
    <s v="desconocido"/>
    <x v="1"/>
  </r>
  <r>
    <n v="164"/>
    <x v="91"/>
    <n v="10"/>
    <x v="1"/>
    <n v="2"/>
    <n v="24"/>
    <n v="2"/>
    <n v="140"/>
    <s v="Null"/>
    <s v="transporte"/>
    <x v="1"/>
    <s v="efectivo"/>
    <s v="desconocido"/>
    <x v="1"/>
  </r>
  <r>
    <n v="165"/>
    <x v="91"/>
    <n v="2"/>
    <x v="1"/>
    <n v="5"/>
    <n v="24"/>
    <n v="2"/>
    <n v="20"/>
    <s v="Null"/>
    <s v="pagos"/>
    <x v="1"/>
    <s v="mercado pago"/>
    <s v="desconocido"/>
    <x v="1"/>
  </r>
  <r>
    <n v="166"/>
    <x v="92"/>
    <n v="14"/>
    <x v="1"/>
    <n v="5"/>
    <n v="24"/>
    <n v="0"/>
    <n v="24"/>
    <s v="Null"/>
    <s v="otro"/>
    <x v="1"/>
    <s v="mercado pago"/>
    <s v="desconocido"/>
    <x v="0"/>
  </r>
  <r>
    <n v="167"/>
    <x v="93"/>
    <n v="2"/>
    <x v="1"/>
    <n v="5"/>
    <n v="24"/>
    <n v="2"/>
    <n v="39"/>
    <s v="Null"/>
    <s v="pagos"/>
    <x v="1"/>
    <s v="mercado pago"/>
    <s v="desconocido"/>
    <x v="1"/>
  </r>
  <r>
    <n v="168"/>
    <x v="93"/>
    <n v="4"/>
    <x v="1"/>
    <n v="2"/>
    <n v="24"/>
    <n v="2"/>
    <n v="30"/>
    <s v="Null"/>
    <s v="comida"/>
    <x v="1"/>
    <s v="efectivo"/>
    <s v="desconocido"/>
    <x v="1"/>
  </r>
  <r>
    <n v="169"/>
    <x v="94"/>
    <n v="13"/>
    <x v="1"/>
    <n v="2"/>
    <n v="24"/>
    <n v="2"/>
    <n v="80"/>
    <s v="Null"/>
    <s v="personal"/>
    <x v="1"/>
    <s v="efectivo"/>
    <s v="desconocido"/>
    <x v="1"/>
  </r>
  <r>
    <n v="170"/>
    <x v="94"/>
    <n v="1"/>
    <x v="1"/>
    <n v="2"/>
    <n v="24"/>
    <n v="2"/>
    <n v="1000"/>
    <s v="Null"/>
    <s v="despensa personal"/>
    <x v="1"/>
    <s v="efectivo"/>
    <s v="desconocido"/>
    <x v="1"/>
  </r>
  <r>
    <n v="171"/>
    <x v="94"/>
    <n v="1"/>
    <x v="1"/>
    <n v="5"/>
    <n v="24"/>
    <n v="2"/>
    <n v="750"/>
    <s v="Null"/>
    <s v="despensa personal"/>
    <x v="1"/>
    <s v="mercado pago"/>
    <s v="desconocido"/>
    <x v="1"/>
  </r>
  <r>
    <n v="172"/>
    <x v="94"/>
    <n v="13"/>
    <x v="1"/>
    <n v="5"/>
    <n v="24"/>
    <n v="2"/>
    <n v="188"/>
    <s v="Null"/>
    <s v="personal"/>
    <x v="1"/>
    <s v="mercado pago"/>
    <s v="desconocido"/>
    <x v="1"/>
  </r>
  <r>
    <n v="173"/>
    <x v="95"/>
    <n v="4"/>
    <x v="1"/>
    <n v="2"/>
    <n v="24"/>
    <n v="2"/>
    <n v="22"/>
    <s v="Null"/>
    <s v="comida"/>
    <x v="1"/>
    <s v="efectivo"/>
    <s v="desconocido"/>
    <x v="1"/>
  </r>
  <r>
    <n v="174"/>
    <x v="95"/>
    <n v="14"/>
    <x v="1"/>
    <n v="5"/>
    <n v="24"/>
    <n v="0"/>
    <n v="75"/>
    <s v="Null"/>
    <s v="otro"/>
    <x v="1"/>
    <s v="mercado pago"/>
    <s v="desconocido"/>
    <x v="0"/>
  </r>
  <r>
    <n v="175"/>
    <x v="95"/>
    <n v="3"/>
    <x v="2"/>
    <n v="5"/>
    <n v="10"/>
    <n v="4"/>
    <n v="54"/>
    <s v="Null"/>
    <s v="inversiones"/>
    <x v="2"/>
    <s v="mercado pago"/>
    <s v="mercado pago"/>
    <x v="2"/>
  </r>
  <r>
    <n v="176"/>
    <x v="95"/>
    <n v="2"/>
    <x v="1"/>
    <n v="2"/>
    <n v="24"/>
    <n v="2"/>
    <n v="117"/>
    <s v="Null"/>
    <s v="pagos"/>
    <x v="1"/>
    <s v="efectivo"/>
    <s v="desconocido"/>
    <x v="1"/>
  </r>
  <r>
    <n v="177"/>
    <x v="96"/>
    <n v="2"/>
    <x v="1"/>
    <n v="5"/>
    <n v="24"/>
    <n v="2"/>
    <n v="30"/>
    <s v="Null"/>
    <s v="pagos"/>
    <x v="1"/>
    <s v="mercado pago"/>
    <s v="desconocido"/>
    <x v="1"/>
  </r>
  <r>
    <n v="178"/>
    <x v="97"/>
    <n v="10"/>
    <x v="1"/>
    <n v="2"/>
    <n v="24"/>
    <n v="2"/>
    <n v="64"/>
    <s v="Null"/>
    <s v="transporte"/>
    <x v="1"/>
    <s v="efectivo"/>
    <s v="desconocido"/>
    <x v="1"/>
  </r>
  <r>
    <n v="179"/>
    <x v="97"/>
    <n v="4"/>
    <x v="1"/>
    <n v="2"/>
    <n v="24"/>
    <n v="2"/>
    <n v="24"/>
    <s v="Null"/>
    <s v="comida"/>
    <x v="1"/>
    <s v="efectivo"/>
    <s v="desconocido"/>
    <x v="1"/>
  </r>
  <r>
    <n v="180"/>
    <x v="98"/>
    <n v="12"/>
    <x v="2"/>
    <n v="4"/>
    <n v="4"/>
    <n v="4"/>
    <n v="6187"/>
    <s v="Null"/>
    <s v="salario"/>
    <x v="2"/>
    <s v="hsbc"/>
    <s v="trabajo"/>
    <x v="2"/>
  </r>
  <r>
    <n v="181"/>
    <x v="99"/>
    <n v="6"/>
    <x v="1"/>
    <n v="2"/>
    <n v="24"/>
    <n v="2"/>
    <n v="100"/>
    <s v="Null"/>
    <s v="medico y salud"/>
    <x v="1"/>
    <s v="efectivo"/>
    <s v="desconocido"/>
    <x v="1"/>
  </r>
  <r>
    <n v="182"/>
    <x v="100"/>
    <n v="4"/>
    <x v="1"/>
    <n v="2"/>
    <n v="24"/>
    <n v="2"/>
    <n v="50"/>
    <s v="Null"/>
    <s v="comida"/>
    <x v="1"/>
    <s v="efectivo"/>
    <s v="desconocido"/>
    <x v="1"/>
  </r>
  <r>
    <n v="183"/>
    <x v="100"/>
    <n v="4"/>
    <x v="1"/>
    <n v="2"/>
    <n v="24"/>
    <n v="2"/>
    <n v="135"/>
    <s v="Null"/>
    <s v="comida"/>
    <x v="1"/>
    <s v="efectivo"/>
    <s v="desconocido"/>
    <x v="1"/>
  </r>
  <r>
    <n v="184"/>
    <x v="101"/>
    <n v="4"/>
    <x v="1"/>
    <n v="2"/>
    <n v="24"/>
    <n v="2"/>
    <n v="20"/>
    <s v="Null"/>
    <s v="comida"/>
    <x v="1"/>
    <s v="efectivo"/>
    <s v="desconocido"/>
    <x v="1"/>
  </r>
  <r>
    <n v="185"/>
    <x v="101"/>
    <n v="3"/>
    <x v="2"/>
    <n v="5"/>
    <n v="10"/>
    <n v="4"/>
    <n v="56"/>
    <s v="Null"/>
    <s v="inversiones"/>
    <x v="2"/>
    <s v="mercado pago"/>
    <s v="mercado pago"/>
    <x v="2"/>
  </r>
  <r>
    <n v="186"/>
    <x v="102"/>
    <n v="2"/>
    <x v="1"/>
    <n v="2"/>
    <n v="24"/>
    <n v="2"/>
    <n v="117"/>
    <s v="Null"/>
    <s v="pagos"/>
    <x v="1"/>
    <s v="efectivo"/>
    <s v="desconocido"/>
    <x v="1"/>
  </r>
  <r>
    <n v="187"/>
    <x v="103"/>
    <n v="13"/>
    <x v="1"/>
    <n v="5"/>
    <n v="24"/>
    <n v="2"/>
    <n v="290"/>
    <s v="Null"/>
    <s v="personal"/>
    <x v="1"/>
    <s v="mercado pago"/>
    <s v="desconocido"/>
    <x v="1"/>
  </r>
  <r>
    <n v="188"/>
    <x v="104"/>
    <n v="13"/>
    <x v="1"/>
    <n v="2"/>
    <n v="24"/>
    <n v="2"/>
    <n v="17"/>
    <s v="Null"/>
    <s v="personal"/>
    <x v="1"/>
    <s v="efectivo"/>
    <s v="desconocido"/>
    <x v="1"/>
  </r>
  <r>
    <n v="189"/>
    <x v="105"/>
    <n v="13"/>
    <x v="1"/>
    <n v="2"/>
    <n v="24"/>
    <n v="2"/>
    <n v="191"/>
    <s v="Null"/>
    <s v="personal"/>
    <x v="1"/>
    <s v="efectivo"/>
    <s v="desconocido"/>
    <x v="1"/>
  </r>
  <r>
    <n v="190"/>
    <x v="105"/>
    <n v="13"/>
    <x v="1"/>
    <n v="2"/>
    <n v="24"/>
    <n v="2"/>
    <n v="100"/>
    <s v="Null"/>
    <s v="personal"/>
    <x v="1"/>
    <s v="efectivo"/>
    <s v="desconocido"/>
    <x v="1"/>
  </r>
  <r>
    <n v="191"/>
    <x v="105"/>
    <n v="4"/>
    <x v="1"/>
    <n v="2"/>
    <n v="24"/>
    <n v="2"/>
    <n v="160"/>
    <s v="Null"/>
    <s v="comida"/>
    <x v="1"/>
    <s v="efectivo"/>
    <s v="desconocido"/>
    <x v="1"/>
  </r>
  <r>
    <n v="192"/>
    <x v="106"/>
    <n v="4"/>
    <x v="1"/>
    <n v="2"/>
    <n v="24"/>
    <n v="2"/>
    <n v="75"/>
    <s v="Null"/>
    <s v="comida"/>
    <x v="1"/>
    <s v="efectivo"/>
    <s v="desconocido"/>
    <x v="1"/>
  </r>
  <r>
    <n v="193"/>
    <x v="106"/>
    <n v="13"/>
    <x v="1"/>
    <n v="2"/>
    <n v="24"/>
    <n v="2"/>
    <n v="140"/>
    <s v="Null"/>
    <s v="personal"/>
    <x v="1"/>
    <s v="efectivo"/>
    <s v="desconocido"/>
    <x v="1"/>
  </r>
  <r>
    <n v="194"/>
    <x v="106"/>
    <n v="4"/>
    <x v="1"/>
    <n v="2"/>
    <n v="24"/>
    <n v="2"/>
    <n v="17"/>
    <s v="Null"/>
    <s v="comida"/>
    <x v="1"/>
    <s v="efectivo"/>
    <s v="desconocido"/>
    <x v="1"/>
  </r>
  <r>
    <n v="195"/>
    <x v="106"/>
    <n v="3"/>
    <x v="2"/>
    <n v="5"/>
    <n v="10"/>
    <n v="4"/>
    <n v="53"/>
    <s v="Null"/>
    <s v="inversiones"/>
    <x v="2"/>
    <s v="mercado pago"/>
    <s v="mercado pago"/>
    <x v="2"/>
  </r>
  <r>
    <n v="196"/>
    <x v="106"/>
    <n v="3"/>
    <x v="2"/>
    <n v="5"/>
    <n v="10"/>
    <n v="4"/>
    <n v="41"/>
    <s v="Null"/>
    <s v="inversiones"/>
    <x v="2"/>
    <s v="mercado pago"/>
    <s v="mercado pago"/>
    <x v="2"/>
  </r>
  <r>
    <n v="197"/>
    <x v="106"/>
    <n v="2"/>
    <x v="1"/>
    <n v="5"/>
    <n v="24"/>
    <n v="2"/>
    <n v="110"/>
    <s v="Null"/>
    <s v="pagos"/>
    <x v="1"/>
    <s v="mercado pago"/>
    <s v="desconocido"/>
    <x v="1"/>
  </r>
  <r>
    <n v="198"/>
    <x v="107"/>
    <n v="2"/>
    <x v="1"/>
    <n v="2"/>
    <n v="24"/>
    <n v="2"/>
    <n v="117"/>
    <s v="Null"/>
    <s v="pagos"/>
    <x v="1"/>
    <s v="efectivo"/>
    <s v="desconocido"/>
    <x v="1"/>
  </r>
  <r>
    <n v="199"/>
    <x v="108"/>
    <n v="13"/>
    <x v="1"/>
    <n v="2"/>
    <n v="24"/>
    <n v="2"/>
    <n v="80"/>
    <s v="Null"/>
    <s v="personal"/>
    <x v="1"/>
    <s v="efectivo"/>
    <s v="desconocido"/>
    <x v="1"/>
  </r>
  <r>
    <n v="200"/>
    <x v="108"/>
    <n v="4"/>
    <x v="1"/>
    <n v="2"/>
    <n v="24"/>
    <n v="2"/>
    <n v="20"/>
    <s v="Null"/>
    <s v="comida"/>
    <x v="1"/>
    <s v="efectivo"/>
    <s v="desconocido"/>
    <x v="1"/>
  </r>
  <r>
    <n v="201"/>
    <x v="109"/>
    <n v="12"/>
    <x v="2"/>
    <n v="4"/>
    <n v="24"/>
    <n v="4"/>
    <n v="6200"/>
    <s v="Null"/>
    <s v="salario"/>
    <x v="2"/>
    <s v="hsbc"/>
    <s v="desconocido"/>
    <x v="2"/>
  </r>
  <r>
    <n v="202"/>
    <x v="109"/>
    <n v="2"/>
    <x v="1"/>
    <n v="5"/>
    <n v="24"/>
    <n v="2"/>
    <n v="110"/>
    <s v="Null"/>
    <s v="pagos"/>
    <x v="1"/>
    <s v="mercado pago"/>
    <s v="desconocido"/>
    <x v="1"/>
  </r>
  <r>
    <n v="203"/>
    <x v="109"/>
    <n v="12"/>
    <x v="2"/>
    <n v="8"/>
    <n v="24"/>
    <n v="4"/>
    <n v="1400"/>
    <s v="Null"/>
    <s v="salario"/>
    <x v="2"/>
    <s v="up si vale"/>
    <s v="desconocido"/>
    <x v="2"/>
  </r>
  <r>
    <n v="204"/>
    <x v="110"/>
    <n v="4"/>
    <x v="1"/>
    <n v="2"/>
    <n v="24"/>
    <n v="2"/>
    <n v="36"/>
    <s v="Null"/>
    <s v="comida"/>
    <x v="1"/>
    <s v="efectivo"/>
    <s v="desconocido"/>
    <x v="1"/>
  </r>
  <r>
    <n v="205"/>
    <x v="110"/>
    <n v="4"/>
    <x v="1"/>
    <n v="2"/>
    <n v="24"/>
    <n v="2"/>
    <n v="90"/>
    <s v="Null"/>
    <s v="comida"/>
    <x v="1"/>
    <s v="efectivo"/>
    <s v="desconocido"/>
    <x v="1"/>
  </r>
  <r>
    <n v="206"/>
    <x v="111"/>
    <n v="14"/>
    <x v="1"/>
    <n v="2"/>
    <n v="24"/>
    <n v="0"/>
    <n v="12"/>
    <s v="Null"/>
    <s v="otro"/>
    <x v="1"/>
    <s v="efectivo"/>
    <s v="desconocido"/>
    <x v="0"/>
  </r>
  <r>
    <n v="207"/>
    <x v="111"/>
    <n v="3"/>
    <x v="2"/>
    <n v="5"/>
    <n v="10"/>
    <n v="4"/>
    <n v="52"/>
    <s v="Null"/>
    <s v="inversiones"/>
    <x v="2"/>
    <s v="mercado pago"/>
    <s v="mercado pago"/>
    <x v="2"/>
  </r>
  <r>
    <n v="208"/>
    <x v="111"/>
    <n v="3"/>
    <x v="2"/>
    <n v="5"/>
    <n v="10"/>
    <n v="4"/>
    <n v="39"/>
    <s v="Null"/>
    <s v="inversiones"/>
    <x v="2"/>
    <s v="mercado pago"/>
    <s v="mercado pago"/>
    <x v="2"/>
  </r>
  <r>
    <n v="209"/>
    <x v="112"/>
    <n v="13"/>
    <x v="1"/>
    <n v="2"/>
    <n v="24"/>
    <n v="2"/>
    <n v="100"/>
    <s v="Null"/>
    <s v="personal"/>
    <x v="1"/>
    <s v="efectivo"/>
    <s v="desconocido"/>
    <x v="1"/>
  </r>
  <r>
    <n v="210"/>
    <x v="112"/>
    <n v="2"/>
    <x v="1"/>
    <n v="2"/>
    <n v="24"/>
    <n v="2"/>
    <n v="117"/>
    <s v="Null"/>
    <s v="pagos"/>
    <x v="1"/>
    <s v="efectivo"/>
    <s v="desconocido"/>
    <x v="1"/>
  </r>
  <r>
    <n v="211"/>
    <x v="113"/>
    <n v="2"/>
    <x v="1"/>
    <n v="5"/>
    <n v="24"/>
    <n v="2"/>
    <n v="100"/>
    <s v="Null"/>
    <s v="pagos"/>
    <x v="1"/>
    <s v="mercado pago"/>
    <s v="desconocido"/>
    <x v="1"/>
  </r>
  <r>
    <n v="212"/>
    <x v="113"/>
    <n v="13"/>
    <x v="1"/>
    <n v="5"/>
    <n v="24"/>
    <n v="2"/>
    <n v="170"/>
    <s v="Null"/>
    <s v="personal"/>
    <x v="1"/>
    <s v="mercado pago"/>
    <s v="desconocido"/>
    <x v="1"/>
  </r>
  <r>
    <n v="213"/>
    <x v="114"/>
    <n v="2"/>
    <x v="1"/>
    <n v="5"/>
    <n v="24"/>
    <n v="2"/>
    <n v="17"/>
    <s v="Null"/>
    <s v="pagos"/>
    <x v="1"/>
    <s v="mercado pago"/>
    <s v="desconocido"/>
    <x v="1"/>
  </r>
  <r>
    <n v="214"/>
    <x v="115"/>
    <n v="13"/>
    <x v="1"/>
    <n v="5"/>
    <n v="24"/>
    <n v="2"/>
    <n v="30"/>
    <s v="Null"/>
    <s v="personal"/>
    <x v="1"/>
    <s v="mercado pago"/>
    <s v="desconocido"/>
    <x v="1"/>
  </r>
  <r>
    <n v="215"/>
    <x v="115"/>
    <n v="13"/>
    <x v="1"/>
    <n v="5"/>
    <n v="24"/>
    <n v="2"/>
    <n v="318"/>
    <s v="Null"/>
    <s v="personal"/>
    <x v="1"/>
    <s v="mercado pago"/>
    <s v="desconocido"/>
    <x v="1"/>
  </r>
  <r>
    <n v="216"/>
    <x v="116"/>
    <n v="2"/>
    <x v="1"/>
    <n v="5"/>
    <n v="24"/>
    <n v="2"/>
    <n v="39"/>
    <s v="Null"/>
    <s v="pagos"/>
    <x v="1"/>
    <s v="mercado pago"/>
    <s v="desconocido"/>
    <x v="1"/>
  </r>
  <r>
    <n v="217"/>
    <x v="116"/>
    <n v="4"/>
    <x v="1"/>
    <n v="2"/>
    <n v="24"/>
    <n v="2"/>
    <n v="25"/>
    <s v="Null"/>
    <s v="comida"/>
    <x v="1"/>
    <s v="efectivo"/>
    <s v="desconocido"/>
    <x v="1"/>
  </r>
  <r>
    <n v="218"/>
    <x v="116"/>
    <n v="4"/>
    <x v="1"/>
    <n v="2"/>
    <n v="24"/>
    <n v="2"/>
    <n v="190"/>
    <s v="Null"/>
    <s v="comida"/>
    <x v="1"/>
    <s v="efectivo"/>
    <s v="desconocido"/>
    <x v="1"/>
  </r>
  <r>
    <n v="219"/>
    <x v="116"/>
    <n v="5"/>
    <x v="1"/>
    <n v="5"/>
    <n v="24"/>
    <n v="1"/>
    <n v="1500"/>
    <s v="Null"/>
    <s v="despensa familiar"/>
    <x v="1"/>
    <s v="mercado pago"/>
    <s v="desconocido"/>
    <x v="3"/>
  </r>
  <r>
    <n v="220"/>
    <x v="116"/>
    <n v="13"/>
    <x v="1"/>
    <n v="2"/>
    <n v="24"/>
    <n v="2"/>
    <n v="105"/>
    <s v="Null"/>
    <s v="personal"/>
    <x v="1"/>
    <s v="efectivo"/>
    <s v="desconocido"/>
    <x v="1"/>
  </r>
  <r>
    <n v="221"/>
    <x v="116"/>
    <n v="13"/>
    <x v="1"/>
    <n v="2"/>
    <n v="24"/>
    <n v="2"/>
    <n v="20"/>
    <s v="Null"/>
    <s v="personal"/>
    <x v="1"/>
    <s v="efectivo"/>
    <s v="desconocido"/>
    <x v="1"/>
  </r>
  <r>
    <n v="222"/>
    <x v="116"/>
    <n v="3"/>
    <x v="2"/>
    <n v="5"/>
    <n v="10"/>
    <n v="4"/>
    <n v="53"/>
    <s v="Null"/>
    <s v="inversiones"/>
    <x v="2"/>
    <s v="mercado pago"/>
    <s v="mercado pago"/>
    <x v="2"/>
  </r>
  <r>
    <n v="223"/>
    <x v="116"/>
    <n v="3"/>
    <x v="2"/>
    <n v="5"/>
    <n v="10"/>
    <n v="4"/>
    <n v="50"/>
    <s v="Null"/>
    <s v="inversiones"/>
    <x v="2"/>
    <s v="mercado pago"/>
    <s v="mercado pago"/>
    <x v="2"/>
  </r>
  <r>
    <n v="224"/>
    <x v="116"/>
    <n v="13"/>
    <x v="1"/>
    <n v="2"/>
    <n v="24"/>
    <n v="2"/>
    <n v="85"/>
    <s v="Null"/>
    <s v="personal"/>
    <x v="1"/>
    <s v="efectivo"/>
    <s v="desconocido"/>
    <x v="1"/>
  </r>
  <r>
    <n v="225"/>
    <x v="117"/>
    <n v="2"/>
    <x v="1"/>
    <n v="2"/>
    <n v="1"/>
    <n v="2"/>
    <n v="117"/>
    <s v="Null"/>
    <s v="pagos"/>
    <x v="1"/>
    <s v="efectivo"/>
    <s v="celular"/>
    <x v="1"/>
  </r>
  <r>
    <n v="226"/>
    <x v="118"/>
    <n v="13"/>
    <x v="1"/>
    <n v="2"/>
    <n v="2"/>
    <n v="2"/>
    <n v="20"/>
    <s v="Null"/>
    <s v="personal"/>
    <x v="1"/>
    <s v="efectivo"/>
    <s v="saldo"/>
    <x v="1"/>
  </r>
  <r>
    <n v="227"/>
    <x v="119"/>
    <n v="10"/>
    <x v="1"/>
    <n v="2"/>
    <n v="3"/>
    <n v="2"/>
    <n v="40"/>
    <s v="Null"/>
    <s v="transporte"/>
    <x v="1"/>
    <s v="efectivo"/>
    <s v="contrato"/>
    <x v="1"/>
  </r>
  <r>
    <n v="228"/>
    <x v="120"/>
    <n v="12"/>
    <x v="2"/>
    <n v="4"/>
    <n v="4"/>
    <n v="4"/>
    <n v="6200"/>
    <s v="Null"/>
    <s v="salario"/>
    <x v="2"/>
    <s v="hsbc"/>
    <s v="trabajo"/>
    <x v="2"/>
  </r>
  <r>
    <n v="229"/>
    <x v="121"/>
    <n v="4"/>
    <x v="1"/>
    <n v="2"/>
    <n v="5"/>
    <n v="2"/>
    <n v="60"/>
    <s v="Null"/>
    <s v="comida"/>
    <x v="1"/>
    <s v="efectivo"/>
    <s v="tamales"/>
    <x v="1"/>
  </r>
  <r>
    <n v="230"/>
    <x v="121"/>
    <n v="13"/>
    <x v="1"/>
    <n v="2"/>
    <n v="6"/>
    <n v="2"/>
    <n v="80"/>
    <s v="Null"/>
    <s v="personal"/>
    <x v="1"/>
    <s v="efectivo"/>
    <s v="pelo"/>
    <x v="1"/>
  </r>
  <r>
    <n v="231"/>
    <x v="122"/>
    <n v="13"/>
    <x v="1"/>
    <n v="3"/>
    <n v="7"/>
    <n v="2"/>
    <n v="84"/>
    <s v="Null"/>
    <s v="personal"/>
    <x v="1"/>
    <s v="tarjeta credito (nu)"/>
    <s v="ventilador"/>
    <x v="1"/>
  </r>
  <r>
    <n v="232"/>
    <x v="122"/>
    <n v="4"/>
    <x v="1"/>
    <n v="2"/>
    <n v="8"/>
    <n v="2"/>
    <n v="120"/>
    <s v="Null"/>
    <s v="comida"/>
    <x v="1"/>
    <s v="efectivo"/>
    <s v="nachos"/>
    <x v="1"/>
  </r>
  <r>
    <n v="233"/>
    <x v="123"/>
    <n v="11"/>
    <x v="1"/>
    <n v="2"/>
    <n v="9"/>
    <n v="2"/>
    <n v="200"/>
    <s v="Null"/>
    <s v="regalos"/>
    <x v="1"/>
    <s v="efectivo"/>
    <s v="pastel"/>
    <x v="1"/>
  </r>
  <r>
    <n v="234"/>
    <x v="123"/>
    <n v="3"/>
    <x v="2"/>
    <n v="5"/>
    <n v="10"/>
    <n v="4"/>
    <n v="52"/>
    <s v="Null"/>
    <s v="inversiones"/>
    <x v="2"/>
    <s v="mercado pago"/>
    <s v="mercado pago"/>
    <x v="2"/>
  </r>
  <r>
    <n v="235"/>
    <x v="123"/>
    <n v="3"/>
    <x v="2"/>
    <n v="5"/>
    <n v="10"/>
    <n v="4"/>
    <n v="46"/>
    <s v="Null"/>
    <s v="inversiones"/>
    <x v="2"/>
    <s v="mercado pago"/>
    <s v="mercado pago"/>
    <x v="2"/>
  </r>
  <r>
    <n v="236"/>
    <x v="124"/>
    <n v="2"/>
    <x v="1"/>
    <n v="2"/>
    <n v="1"/>
    <n v="2"/>
    <n v="117"/>
    <s v="Null"/>
    <s v="pagos"/>
    <x v="1"/>
    <s v="efectivo"/>
    <s v="celular"/>
    <x v="1"/>
  </r>
  <r>
    <n v="237"/>
    <x v="124"/>
    <n v="13"/>
    <x v="1"/>
    <n v="5"/>
    <n v="7"/>
    <n v="2"/>
    <n v="42"/>
    <s v="Null"/>
    <s v="personal"/>
    <x v="1"/>
    <s v="mercado pago"/>
    <s v="ventilador"/>
    <x v="1"/>
  </r>
  <r>
    <n v="238"/>
    <x v="125"/>
    <n v="4"/>
    <x v="1"/>
    <n v="2"/>
    <n v="12"/>
    <n v="2"/>
    <n v="10"/>
    <s v="Null"/>
    <s v="comida"/>
    <x v="1"/>
    <s v="efectivo"/>
    <s v="tienda"/>
    <x v="1"/>
  </r>
  <r>
    <n v="239"/>
    <x v="126"/>
    <n v="11"/>
    <x v="1"/>
    <n v="5"/>
    <n v="13"/>
    <n v="2"/>
    <n v="585"/>
    <s v="Null"/>
    <s v="regalos"/>
    <x v="1"/>
    <s v="mercado pago"/>
    <s v="mama"/>
    <x v="1"/>
  </r>
  <r>
    <n v="240"/>
    <x v="126"/>
    <n v="5"/>
    <x v="1"/>
    <n v="2"/>
    <n v="14"/>
    <n v="1"/>
    <n v="1400"/>
    <s v="Null"/>
    <s v="despensa familiar"/>
    <x v="1"/>
    <s v="efectivo"/>
    <s v="despensa familiar"/>
    <x v="3"/>
  </r>
  <r>
    <n v="241"/>
    <x v="126"/>
    <n v="13"/>
    <x v="1"/>
    <n v="2"/>
    <n v="15"/>
    <n v="2"/>
    <n v="300"/>
    <s v="Null"/>
    <s v="personal"/>
    <x v="1"/>
    <s v="efectivo"/>
    <s v="pasaje yeendy"/>
    <x v="1"/>
  </r>
  <r>
    <n v="242"/>
    <x v="127"/>
    <n v="4"/>
    <x v="1"/>
    <n v="2"/>
    <n v="16"/>
    <n v="2"/>
    <n v="17"/>
    <s v="Null"/>
    <s v="comida"/>
    <x v="1"/>
    <s v="efectivo"/>
    <s v="agua"/>
    <x v="1"/>
  </r>
  <r>
    <n v="243"/>
    <x v="127"/>
    <n v="4"/>
    <x v="1"/>
    <n v="2"/>
    <n v="17"/>
    <n v="2"/>
    <n v="62"/>
    <s v="Null"/>
    <s v="comida"/>
    <x v="1"/>
    <s v="efectivo"/>
    <s v="cerveza"/>
    <x v="1"/>
  </r>
  <r>
    <n v="244"/>
    <x v="128"/>
    <n v="4"/>
    <x v="1"/>
    <n v="2"/>
    <n v="18"/>
    <n v="2"/>
    <n v="35"/>
    <s v="Null"/>
    <s v="comida"/>
    <x v="1"/>
    <s v="efectivo"/>
    <s v="tianguis"/>
    <x v="1"/>
  </r>
  <r>
    <n v="245"/>
    <x v="128"/>
    <n v="4"/>
    <x v="1"/>
    <n v="2"/>
    <n v="12"/>
    <n v="2"/>
    <n v="50"/>
    <s v="Null"/>
    <s v="comida"/>
    <x v="1"/>
    <s v="efectivo"/>
    <s v="tienda"/>
    <x v="1"/>
  </r>
  <r>
    <n v="246"/>
    <x v="128"/>
    <n v="4"/>
    <x v="1"/>
    <n v="2"/>
    <n v="8"/>
    <n v="2"/>
    <n v="100"/>
    <s v="Null"/>
    <s v="comida"/>
    <x v="1"/>
    <s v="efectivo"/>
    <s v="nachos"/>
    <x v="1"/>
  </r>
  <r>
    <n v="247"/>
    <x v="128"/>
    <n v="3"/>
    <x v="2"/>
    <n v="5"/>
    <n v="10"/>
    <n v="4"/>
    <n v="53"/>
    <s v="Null"/>
    <s v="inversiones"/>
    <x v="2"/>
    <s v="mercado pago"/>
    <s v="mercado pago"/>
    <x v="2"/>
  </r>
  <r>
    <n v="248"/>
    <x v="128"/>
    <n v="3"/>
    <x v="2"/>
    <n v="5"/>
    <n v="10"/>
    <n v="4"/>
    <n v="50"/>
    <s v="Null"/>
    <s v="inversiones"/>
    <x v="2"/>
    <s v="mercado pago"/>
    <s v="mercado pago"/>
    <x v="2"/>
  </r>
  <r>
    <n v="249"/>
    <x v="129"/>
    <n v="10"/>
    <x v="1"/>
    <n v="2"/>
    <n v="15"/>
    <n v="2"/>
    <n v="30"/>
    <s v="Null"/>
    <s v="transporte"/>
    <x v="1"/>
    <s v="efectivo"/>
    <s v="pasaje yeendy"/>
    <x v="1"/>
  </r>
  <r>
    <n v="250"/>
    <x v="129"/>
    <n v="2"/>
    <x v="1"/>
    <n v="2"/>
    <n v="1"/>
    <n v="1"/>
    <n v="117"/>
    <s v="Null"/>
    <s v="pagos"/>
    <x v="1"/>
    <s v="efectivo"/>
    <s v="celular"/>
    <x v="3"/>
  </r>
  <r>
    <n v="251"/>
    <x v="129"/>
    <n v="2"/>
    <x v="1"/>
    <n v="2"/>
    <n v="7"/>
    <n v="2"/>
    <n v="42"/>
    <s v="Null"/>
    <s v="pagos"/>
    <x v="1"/>
    <s v="efectivo"/>
    <s v="ventilador"/>
    <x v="1"/>
  </r>
  <r>
    <n v="252"/>
    <x v="130"/>
    <n v="12"/>
    <x v="2"/>
    <n v="4"/>
    <n v="4"/>
    <n v="4"/>
    <n v="6200"/>
    <s v="Null"/>
    <s v="salario"/>
    <x v="2"/>
    <s v="hsbc"/>
    <s v="trabajo"/>
    <x v="2"/>
  </r>
  <r>
    <n v="253"/>
    <x v="131"/>
    <n v="5"/>
    <x v="1"/>
    <n v="2"/>
    <n v="22"/>
    <n v="1"/>
    <n v="100"/>
    <s v="Null"/>
    <s v="despensa familiar"/>
    <x v="1"/>
    <s v="efectivo"/>
    <s v="gas"/>
    <x v="3"/>
  </r>
  <r>
    <n v="254"/>
    <x v="131"/>
    <n v="4"/>
    <x v="1"/>
    <n v="2"/>
    <n v="18"/>
    <n v="2"/>
    <n v="100"/>
    <s v="Null"/>
    <s v="comida"/>
    <x v="1"/>
    <s v="efectivo"/>
    <s v="tianguis"/>
    <x v="1"/>
  </r>
  <r>
    <n v="255"/>
    <x v="131"/>
    <n v="4"/>
    <x v="1"/>
    <n v="2"/>
    <n v="17"/>
    <n v="2"/>
    <n v="57"/>
    <s v="Null"/>
    <s v="comida"/>
    <x v="1"/>
    <s v="efectivo"/>
    <s v="cerveza"/>
    <x v="1"/>
  </r>
  <r>
    <n v="256"/>
    <x v="132"/>
    <n v="11"/>
    <x v="1"/>
    <n v="2"/>
    <n v="23"/>
    <n v="2"/>
    <n v="600"/>
    <s v="Null"/>
    <s v="regalos"/>
    <x v="1"/>
    <s v="efectivo"/>
    <s v="comida mama"/>
    <x v="1"/>
  </r>
  <r>
    <n v="257"/>
    <x v="132"/>
    <n v="13"/>
    <x v="1"/>
    <n v="2"/>
    <n v="15"/>
    <n v="2"/>
    <n v="90"/>
    <s v="Null"/>
    <s v="personal"/>
    <x v="1"/>
    <s v="efectivo"/>
    <s v="pasaje yeendy"/>
    <x v="1"/>
  </r>
  <r>
    <n v="258"/>
    <x v="132"/>
    <n v="3"/>
    <x v="2"/>
    <n v="5"/>
    <n v="10"/>
    <n v="4"/>
    <n v="53"/>
    <s v="Null"/>
    <s v="inversiones"/>
    <x v="2"/>
    <s v="mercado pago"/>
    <s v="mercado pago"/>
    <x v="2"/>
  </r>
  <r>
    <n v="259"/>
    <x v="132"/>
    <n v="3"/>
    <x v="2"/>
    <n v="6"/>
    <n v="11"/>
    <n v="4"/>
    <n v="49"/>
    <s v="Null"/>
    <s v="inversiones"/>
    <x v="2"/>
    <s v="didi cuenta"/>
    <s v="didi"/>
    <x v="2"/>
  </r>
  <r>
    <n v="260"/>
    <x v="133"/>
    <n v="2"/>
    <x v="1"/>
    <n v="2"/>
    <n v="1"/>
    <n v="1"/>
    <n v="117"/>
    <s v="Null"/>
    <s v="pagos"/>
    <x v="1"/>
    <s v="efectivo"/>
    <s v="celular"/>
    <x v="3"/>
  </r>
  <r>
    <n v="261"/>
    <x v="133"/>
    <n v="2"/>
    <x v="1"/>
    <n v="2"/>
    <n v="7"/>
    <n v="2"/>
    <n v="42"/>
    <s v="Null"/>
    <s v="pagos"/>
    <x v="1"/>
    <s v="efectivo"/>
    <s v="ventilador"/>
    <x v="1"/>
  </r>
  <r>
    <n v="262"/>
    <x v="134"/>
    <n v="2"/>
    <x v="1"/>
    <n v="5"/>
    <n v="25"/>
    <n v="1"/>
    <n v="100"/>
    <s v="Null"/>
    <s v="pagos"/>
    <x v="1"/>
    <s v="mercado pago"/>
    <s v="youtube premium"/>
    <x v="3"/>
  </r>
  <r>
    <n v="263"/>
    <x v="135"/>
    <n v="2"/>
    <x v="1"/>
    <n v="5"/>
    <n v="26"/>
    <n v="1"/>
    <n v="17"/>
    <s v="Null"/>
    <s v="pagos"/>
    <x v="1"/>
    <s v="mercado pago"/>
    <s v="google drive"/>
    <x v="3"/>
  </r>
  <r>
    <n v="264"/>
    <x v="136"/>
    <n v="13"/>
    <x v="1"/>
    <n v="2"/>
    <n v="6"/>
    <n v="2"/>
    <n v="80"/>
    <s v="Null"/>
    <s v="personal"/>
    <x v="1"/>
    <s v="efectivo"/>
    <s v="pelo"/>
    <x v="1"/>
  </r>
  <r>
    <n v="265"/>
    <x v="137"/>
    <n v="5"/>
    <x v="1"/>
    <n v="8"/>
    <n v="14"/>
    <n v="1"/>
    <n v="1400"/>
    <s v="Null"/>
    <s v="despensa familiar"/>
    <x v="1"/>
    <s v="up si vale"/>
    <s v="despensa familiar"/>
    <x v="3"/>
  </r>
  <r>
    <n v="266"/>
    <x v="137"/>
    <n v="5"/>
    <x v="1"/>
    <n v="2"/>
    <n v="27"/>
    <n v="1"/>
    <n v="200"/>
    <s v="Null"/>
    <s v="despensa familiar"/>
    <x v="1"/>
    <s v="efectivo"/>
    <s v="dori"/>
    <x v="3"/>
  </r>
  <r>
    <n v="267"/>
    <x v="137"/>
    <n v="1"/>
    <x v="1"/>
    <n v="2"/>
    <n v="28"/>
    <n v="2"/>
    <n v="150"/>
    <s v="Null"/>
    <s v="despensa personal"/>
    <x v="1"/>
    <s v="efectivo"/>
    <s v="despensa personal"/>
    <x v="1"/>
  </r>
  <r>
    <n v="268"/>
    <x v="138"/>
    <n v="4"/>
    <x v="1"/>
    <n v="2"/>
    <n v="12"/>
    <n v="2"/>
    <n v="25"/>
    <s v="Null"/>
    <s v="comida"/>
    <x v="1"/>
    <s v="efectivo"/>
    <s v="tienda"/>
    <x v="1"/>
  </r>
  <r>
    <n v="269"/>
    <x v="138"/>
    <n v="3"/>
    <x v="2"/>
    <n v="5"/>
    <n v="10"/>
    <n v="4"/>
    <n v="52"/>
    <s v="Null"/>
    <s v="inversiones"/>
    <x v="2"/>
    <s v="mercado pago"/>
    <s v="mercado pago"/>
    <x v="2"/>
  </r>
  <r>
    <n v="270"/>
    <x v="138"/>
    <n v="3"/>
    <x v="2"/>
    <n v="6"/>
    <n v="11"/>
    <n v="4"/>
    <n v="56"/>
    <s v="Null"/>
    <s v="inversiones"/>
    <x v="2"/>
    <s v="didi cuenta"/>
    <s v="didi"/>
    <x v="2"/>
  </r>
  <r>
    <n v="271"/>
    <x v="86"/>
    <n v="3"/>
    <x v="1"/>
    <n v="6"/>
    <n v="29"/>
    <n v="3"/>
    <n v="5000"/>
    <s v="Null"/>
    <s v="inversiones"/>
    <x v="1"/>
    <s v="didi cuenta"/>
    <s v="didi inversion"/>
    <x v="4"/>
  </r>
  <r>
    <n v="272"/>
    <x v="107"/>
    <n v="3"/>
    <x v="1"/>
    <n v="6"/>
    <n v="29"/>
    <n v="3"/>
    <n v="5000"/>
    <s v="Null"/>
    <s v="inversiones"/>
    <x v="1"/>
    <s v="didi cuenta"/>
    <s v="didi inversion"/>
    <x v="4"/>
  </r>
  <r>
    <n v="273"/>
    <x v="129"/>
    <n v="3"/>
    <x v="1"/>
    <n v="6"/>
    <n v="29"/>
    <n v="3"/>
    <n v="5000"/>
    <s v="Null"/>
    <s v="inversiones"/>
    <x v="1"/>
    <s v="didi cuenta"/>
    <s v="didi inversion"/>
    <x v="4"/>
  </r>
  <r>
    <n v="274"/>
    <x v="139"/>
    <n v="2"/>
    <x v="1"/>
    <n v="6"/>
    <n v="7"/>
    <n v="2"/>
    <n v="42"/>
    <s v="Null"/>
    <s v="pagos"/>
    <x v="1"/>
    <s v="didi cuenta"/>
    <s v="ventilador"/>
    <x v="1"/>
  </r>
  <r>
    <n v="275"/>
    <x v="139"/>
    <n v="2"/>
    <x v="1"/>
    <n v="2"/>
    <n v="1"/>
    <n v="1"/>
    <n v="117"/>
    <s v="Null"/>
    <s v="pagos"/>
    <x v="1"/>
    <s v="efectivo"/>
    <s v="celular"/>
    <x v="3"/>
  </r>
  <r>
    <n v="276"/>
    <x v="139"/>
    <n v="2"/>
    <x v="1"/>
    <n v="5"/>
    <n v="30"/>
    <n v="1"/>
    <n v="39"/>
    <s v="Null"/>
    <s v="pagos"/>
    <x v="1"/>
    <s v="mercado pago"/>
    <s v="one drive"/>
    <x v="3"/>
  </r>
  <r>
    <n v="277"/>
    <x v="140"/>
    <n v="2"/>
    <x v="1"/>
    <n v="6"/>
    <n v="31"/>
    <n v="2"/>
    <n v="63"/>
    <s v="Null"/>
    <s v="pagos"/>
    <x v="1"/>
    <s v="didi cuenta"/>
    <s v="gta6"/>
    <x v="1"/>
  </r>
  <r>
    <n v="278"/>
    <x v="140"/>
    <n v="11"/>
    <x v="1"/>
    <n v="2"/>
    <n v="9"/>
    <n v="2"/>
    <n v="490"/>
    <s v="Null"/>
    <s v="regalos"/>
    <x v="1"/>
    <s v="efectivo"/>
    <s v="pastel"/>
    <x v="1"/>
  </r>
  <r>
    <n v="279"/>
    <x v="140"/>
    <n v="12"/>
    <x v="2"/>
    <n v="4"/>
    <n v="4"/>
    <n v="4"/>
    <n v="6186"/>
    <s v="Null"/>
    <s v="salario"/>
    <x v="2"/>
    <s v="hsbc"/>
    <s v="trabajo"/>
    <x v="2"/>
  </r>
  <r>
    <n v="280"/>
    <x v="141"/>
    <n v="13"/>
    <x v="1"/>
    <n v="2"/>
    <n v="32"/>
    <n v="2"/>
    <n v="470"/>
    <s v="Null"/>
    <s v="personal"/>
    <x v="1"/>
    <s v="efectivo"/>
    <s v="semana santa"/>
    <x v="1"/>
  </r>
  <r>
    <n v="281"/>
    <x v="141"/>
    <n v="13"/>
    <x v="1"/>
    <n v="2"/>
    <n v="16"/>
    <n v="2"/>
    <n v="17"/>
    <s v="Null"/>
    <s v="personal"/>
    <x v="1"/>
    <s v="efectivo"/>
    <s v="agua"/>
    <x v="1"/>
  </r>
  <r>
    <n v="282"/>
    <x v="142"/>
    <n v="4"/>
    <x v="1"/>
    <n v="2"/>
    <n v="12"/>
    <n v="2"/>
    <n v="22"/>
    <s v="Null"/>
    <s v="comida"/>
    <x v="1"/>
    <s v="efectivo"/>
    <s v="tienda"/>
    <x v="1"/>
  </r>
  <r>
    <n v="283"/>
    <x v="143"/>
    <n v="4"/>
    <x v="1"/>
    <n v="2"/>
    <n v="18"/>
    <n v="2"/>
    <n v="96"/>
    <s v="Null"/>
    <s v="comida"/>
    <x v="1"/>
    <s v="efectivo"/>
    <s v="tianguis"/>
    <x v="1"/>
  </r>
  <r>
    <n v="284"/>
    <x v="143"/>
    <n v="3"/>
    <x v="2"/>
    <n v="5"/>
    <n v="10"/>
    <n v="4"/>
    <n v="38"/>
    <s v="Null"/>
    <s v="inversiones"/>
    <x v="2"/>
    <s v="mercado pago"/>
    <s v="mercado pago"/>
    <x v="2"/>
  </r>
  <r>
    <n v="285"/>
    <x v="143"/>
    <n v="3"/>
    <x v="2"/>
    <n v="6"/>
    <n v="11"/>
    <n v="4"/>
    <n v="38"/>
    <s v="Null"/>
    <s v="inversiones"/>
    <x v="2"/>
    <s v="didi cuenta"/>
    <s v="didi"/>
    <x v="2"/>
  </r>
  <r>
    <n v="286"/>
    <x v="144"/>
    <n v="13"/>
    <x v="1"/>
    <n v="6"/>
    <n v="31"/>
    <n v="2"/>
    <n v="63"/>
    <s v="Null"/>
    <s v="personal"/>
    <x v="1"/>
    <s v="didi cuenta"/>
    <s v="gta6"/>
    <x v="1"/>
  </r>
  <r>
    <n v="287"/>
    <x v="144"/>
    <n v="13"/>
    <x v="1"/>
    <n v="3"/>
    <n v="7"/>
    <n v="2"/>
    <n v="42"/>
    <s v="Null"/>
    <s v="personal"/>
    <x v="1"/>
    <s v="tarjeta credito (nu)"/>
    <s v="ventilador"/>
    <x v="1"/>
  </r>
  <r>
    <n v="288"/>
    <x v="144"/>
    <n v="2"/>
    <x v="1"/>
    <n v="2"/>
    <n v="1"/>
    <n v="1"/>
    <n v="117"/>
    <s v="Null"/>
    <s v="pagos"/>
    <x v="1"/>
    <s v="efectivo"/>
    <s v="celular"/>
    <x v="3"/>
  </r>
  <r>
    <n v="289"/>
    <x v="145"/>
    <n v="13"/>
    <x v="1"/>
    <n v="5"/>
    <n v="34"/>
    <n v="2"/>
    <n v="534"/>
    <s v="Null"/>
    <s v="personal"/>
    <x v="1"/>
    <s v="mercado pago"/>
    <s v="regalo"/>
    <x v="1"/>
  </r>
  <r>
    <n v="290"/>
    <x v="146"/>
    <n v="13"/>
    <x v="1"/>
    <n v="6"/>
    <n v="35"/>
    <n v="2"/>
    <n v="200"/>
    <s v="Null"/>
    <s v="personal"/>
    <x v="1"/>
    <s v="didi cuenta"/>
    <s v="veterinario"/>
    <x v="1"/>
  </r>
  <r>
    <n v="291"/>
    <x v="146"/>
    <n v="4"/>
    <x v="1"/>
    <n v="2"/>
    <n v="33"/>
    <n v="2"/>
    <n v="93"/>
    <s v="Null"/>
    <s v="comida"/>
    <x v="1"/>
    <s v="efectivo"/>
    <s v="comida rapida"/>
    <x v="1"/>
  </r>
  <r>
    <n v="292"/>
    <x v="146"/>
    <n v="4"/>
    <x v="1"/>
    <n v="2"/>
    <n v="12"/>
    <n v="2"/>
    <n v="43"/>
    <s v="Null"/>
    <s v="comida"/>
    <x v="1"/>
    <s v="efectivo"/>
    <s v="tienda"/>
    <x v="1"/>
  </r>
  <r>
    <n v="293"/>
    <x v="146"/>
    <n v="13"/>
    <x v="1"/>
    <n v="2"/>
    <n v="12"/>
    <n v="2"/>
    <n v="35"/>
    <s v="Null"/>
    <s v="personal"/>
    <x v="1"/>
    <s v="efectivo"/>
    <s v="tienda"/>
    <x v="1"/>
  </r>
  <r>
    <n v="294"/>
    <x v="147"/>
    <n v="5"/>
    <x v="1"/>
    <n v="2"/>
    <n v="14"/>
    <n v="1"/>
    <n v="1400"/>
    <s v="Null"/>
    <s v="despensa familiar"/>
    <x v="1"/>
    <s v="efectivo"/>
    <s v="despensa familiar"/>
    <x v="3"/>
  </r>
  <r>
    <n v="295"/>
    <x v="147"/>
    <n v="13"/>
    <x v="1"/>
    <n v="5"/>
    <n v="2"/>
    <n v="2"/>
    <n v="30"/>
    <s v="Null"/>
    <s v="personal"/>
    <x v="1"/>
    <s v="mercado pago"/>
    <s v="saldo"/>
    <x v="1"/>
  </r>
  <r>
    <n v="296"/>
    <x v="147"/>
    <n v="3"/>
    <x v="2"/>
    <n v="5"/>
    <n v="10"/>
    <n v="3"/>
    <n v="68"/>
    <s v="Null"/>
    <s v="inversiones"/>
    <x v="2"/>
    <s v="mercado pago"/>
    <s v="mercado pago"/>
    <x v="4"/>
  </r>
  <r>
    <n v="297"/>
    <x v="147"/>
    <n v="3"/>
    <x v="2"/>
    <n v="6"/>
    <n v="29"/>
    <n v="3"/>
    <n v="77"/>
    <s v="Null"/>
    <s v="inversiones"/>
    <x v="2"/>
    <s v="didi cuenta"/>
    <s v="didi inversion"/>
    <x v="4"/>
  </r>
  <r>
    <n v="298"/>
    <x v="148"/>
    <n v="13"/>
    <x v="1"/>
    <n v="6"/>
    <n v="31"/>
    <n v="2"/>
    <n v="63"/>
    <s v="Null"/>
    <s v="personal"/>
    <x v="1"/>
    <s v="didi cuenta"/>
    <s v="gta6"/>
    <x v="1"/>
  </r>
  <r>
    <n v="299"/>
    <x v="148"/>
    <n v="13"/>
    <x v="1"/>
    <n v="3"/>
    <n v="7"/>
    <n v="2"/>
    <n v="42"/>
    <s v="Null"/>
    <s v="personal"/>
    <x v="1"/>
    <s v="tarjeta credito (nu)"/>
    <s v="ventilador"/>
    <x v="1"/>
  </r>
  <r>
    <n v="300"/>
    <x v="148"/>
    <n v="2"/>
    <x v="1"/>
    <n v="2"/>
    <n v="1"/>
    <n v="1"/>
    <n v="117"/>
    <s v="Null"/>
    <s v="pagos"/>
    <x v="1"/>
    <s v="efectivo"/>
    <s v="celular"/>
    <x v="3"/>
  </r>
  <r>
    <n v="301"/>
    <x v="149"/>
    <n v="6"/>
    <x v="1"/>
    <n v="2"/>
    <n v="39"/>
    <n v="2"/>
    <n v="50"/>
    <s v="Null"/>
    <s v="medico y salud"/>
    <x v="1"/>
    <s v="efectivo"/>
    <s v="medicamento"/>
    <x v="1"/>
  </r>
  <r>
    <n v="302"/>
    <x v="150"/>
    <n v="4"/>
    <x v="1"/>
    <n v="2"/>
    <n v="16"/>
    <n v="2"/>
    <n v="17"/>
    <s v="Null"/>
    <s v="comida"/>
    <x v="1"/>
    <s v="efectivo"/>
    <s v="agua"/>
    <x v="1"/>
  </r>
  <r>
    <n v="303"/>
    <x v="151"/>
    <n v="13"/>
    <x v="1"/>
    <n v="2"/>
    <n v="6"/>
    <n v="2"/>
    <n v="80"/>
    <s v="Null"/>
    <s v="personal"/>
    <x v="1"/>
    <s v="efectivo"/>
    <s v="pelo"/>
    <x v="1"/>
  </r>
  <r>
    <n v="304"/>
    <x v="152"/>
    <n v="10"/>
    <x v="1"/>
    <n v="2"/>
    <n v="38"/>
    <n v="2"/>
    <n v="20"/>
    <s v="Null"/>
    <s v="transporte"/>
    <x v="1"/>
    <s v="efectivo"/>
    <s v="yeen"/>
    <x v="1"/>
  </r>
  <r>
    <n v="305"/>
    <x v="152"/>
    <n v="13"/>
    <x v="1"/>
    <n v="2"/>
    <n v="38"/>
    <n v="2"/>
    <n v="75"/>
    <s v="Null"/>
    <s v="personal"/>
    <x v="1"/>
    <s v="efectivo"/>
    <s v="yeen"/>
    <x v="1"/>
  </r>
  <r>
    <n v="306"/>
    <x v="153"/>
    <n v="4"/>
    <x v="1"/>
    <n v="2"/>
    <n v="12"/>
    <n v="2"/>
    <n v="104"/>
    <s v="Null"/>
    <s v="comida"/>
    <x v="1"/>
    <s v="efectivo"/>
    <s v="tienda"/>
    <x v="1"/>
  </r>
  <r>
    <n v="307"/>
    <x v="154"/>
    <n v="4"/>
    <x v="1"/>
    <n v="2"/>
    <n v="33"/>
    <n v="2"/>
    <n v="170"/>
    <s v="Null"/>
    <s v="comida"/>
    <x v="1"/>
    <s v="efectivo"/>
    <s v="comida rapida"/>
    <x v="1"/>
  </r>
  <r>
    <n v="308"/>
    <x v="154"/>
    <n v="13"/>
    <x v="1"/>
    <n v="5"/>
    <n v="38"/>
    <n v="2"/>
    <n v="168"/>
    <s v="Null"/>
    <s v="personal"/>
    <x v="1"/>
    <s v="mercado pago"/>
    <s v="yeen"/>
    <x v="1"/>
  </r>
  <r>
    <n v="309"/>
    <x v="154"/>
    <n v="3"/>
    <x v="2"/>
    <n v="5"/>
    <n v="10"/>
    <n v="4"/>
    <n v="52"/>
    <s v="Null"/>
    <s v="inversiones"/>
    <x v="2"/>
    <s v="mercado pago"/>
    <s v="mercado pago"/>
    <x v="2"/>
  </r>
  <r>
    <n v="310"/>
    <x v="154"/>
    <n v="3"/>
    <x v="2"/>
    <n v="6"/>
    <n v="11"/>
    <n v="4"/>
    <n v="57"/>
    <s v="Null"/>
    <s v="inversiones"/>
    <x v="2"/>
    <s v="didi cuenta"/>
    <s v="didi"/>
    <x v="2"/>
  </r>
  <r>
    <n v="310"/>
    <x v="154"/>
    <n v="3"/>
    <x v="2"/>
    <n v="9"/>
    <n v="37"/>
    <n v="4"/>
    <n v="19"/>
    <s v="Null"/>
    <s v="inversiones"/>
    <x v="2"/>
    <s v="revolut"/>
    <s v="revolut"/>
    <x v="2"/>
  </r>
  <r>
    <n v="311"/>
    <x v="87"/>
    <n v="12"/>
    <x v="2"/>
    <n v="8"/>
    <n v="4"/>
    <n v="4"/>
    <n v="1400"/>
    <s v="Null"/>
    <s v="salario"/>
    <x v="2"/>
    <s v="up si vale"/>
    <s v="trabajo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7:A8" firstHeaderRow="1" firstDataRow="1" firstDataCol="0" rowPageCount="5" colPageCount="1"/>
  <pivotFields count="16">
    <pivotField showAll="0"/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axis="axisPage" multipleItemSelectionAllowed="1" showAll="0">
      <items count="6">
        <item h="1" x="0"/>
        <item h="1" x="2"/>
        <item h="1" x="4"/>
        <item h="1" x="3"/>
        <item x="1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6">
        <item sd="0" x="0"/>
        <item sd="0" x="1"/>
        <item sd="0" x="2"/>
        <item sd="0" x="3"/>
        <item sd="0" x="4"/>
        <item t="default"/>
      </items>
    </pivotField>
  </pivotFields>
  <rowItems count="1">
    <i/>
  </rowItems>
  <colItems count="1">
    <i/>
  </colItems>
  <pageFields count="5">
    <pageField fld="13" hier="-1"/>
    <pageField fld="10" item="1" hier="-1"/>
    <pageField fld="1" hier="-1"/>
    <pageField fld="15" hier="-1"/>
    <pageField fld="14" hier="-1"/>
  </pageFields>
  <dataFields count="1">
    <dataField name="Suma de monto" fld="7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6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2" width="13" style="13" customWidth="1"/>
    <col min="3" max="3" width="11" style="13" customWidth="1"/>
    <col min="4" max="4" width="8" style="13" customWidth="1"/>
    <col min="5" max="5" width="12" style="13" customWidth="1"/>
    <col min="6" max="7" width="14" style="13" customWidth="1"/>
    <col min="8" max="8" width="12" style="13" customWidth="1"/>
    <col min="9" max="9" width="3" style="13" customWidth="1"/>
    <col min="10" max="10" width="20" style="13" customWidth="1"/>
    <col min="11" max="13" width="15" style="13" customWidth="1"/>
    <col min="14" max="14" width="17" style="13" customWidth="1"/>
  </cols>
  <sheetData>
    <row r="1" spans="1:14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 x14ac:dyDescent="0.25">
      <c r="A2"/>
      <c r="B2" s="16"/>
      <c r="C2"/>
      <c r="D2"/>
      <c r="E2"/>
      <c r="F2"/>
      <c r="G2"/>
      <c r="H2"/>
      <c r="I2"/>
      <c r="J2"/>
      <c r="K2"/>
      <c r="L2"/>
      <c r="M2"/>
      <c r="N2"/>
    </row>
    <row r="3" spans="1:14" x14ac:dyDescent="0.25">
      <c r="A3"/>
      <c r="B3" s="16"/>
      <c r="C3"/>
      <c r="D3"/>
      <c r="E3"/>
      <c r="F3"/>
      <c r="G3"/>
      <c r="H3"/>
      <c r="I3"/>
      <c r="J3"/>
      <c r="K3"/>
      <c r="L3"/>
      <c r="M3"/>
      <c r="N3"/>
    </row>
    <row r="4" spans="1:14" x14ac:dyDescent="0.25">
      <c r="A4"/>
      <c r="B4" s="16"/>
      <c r="C4"/>
      <c r="D4"/>
      <c r="E4"/>
      <c r="F4"/>
      <c r="G4"/>
      <c r="H4"/>
      <c r="I4"/>
      <c r="J4"/>
      <c r="K4"/>
      <c r="L4"/>
      <c r="M4"/>
      <c r="N4"/>
    </row>
    <row r="5" spans="1:14" x14ac:dyDescent="0.25">
      <c r="A5"/>
      <c r="B5" s="16"/>
      <c r="C5"/>
      <c r="D5"/>
      <c r="E5"/>
      <c r="F5"/>
      <c r="G5"/>
      <c r="H5"/>
      <c r="I5"/>
      <c r="J5"/>
      <c r="K5"/>
      <c r="L5"/>
      <c r="M5"/>
      <c r="N5"/>
    </row>
    <row r="6" spans="1:14" x14ac:dyDescent="0.25">
      <c r="A6"/>
      <c r="B6" s="16"/>
      <c r="C6"/>
      <c r="D6"/>
      <c r="E6"/>
      <c r="F6"/>
      <c r="G6"/>
      <c r="H6"/>
      <c r="I6"/>
      <c r="J6"/>
      <c r="K6"/>
      <c r="L6"/>
      <c r="M6"/>
      <c r="N6"/>
    </row>
    <row r="7" spans="1:14" x14ac:dyDescent="0.25">
      <c r="A7"/>
      <c r="B7" s="16"/>
      <c r="C7"/>
      <c r="D7"/>
      <c r="E7"/>
      <c r="F7"/>
      <c r="G7"/>
      <c r="H7"/>
      <c r="I7"/>
      <c r="J7"/>
      <c r="K7"/>
      <c r="L7"/>
      <c r="M7"/>
      <c r="N7"/>
    </row>
    <row r="8" spans="1:14" x14ac:dyDescent="0.25">
      <c r="A8"/>
      <c r="B8" s="16"/>
      <c r="C8"/>
      <c r="D8"/>
      <c r="E8"/>
      <c r="F8"/>
      <c r="G8"/>
      <c r="H8"/>
      <c r="I8"/>
      <c r="J8"/>
      <c r="K8"/>
      <c r="L8"/>
      <c r="M8"/>
      <c r="N8"/>
    </row>
    <row r="9" spans="1:14" x14ac:dyDescent="0.25">
      <c r="A9"/>
      <c r="B9" s="16"/>
      <c r="C9"/>
      <c r="D9"/>
      <c r="E9"/>
      <c r="F9"/>
      <c r="G9"/>
      <c r="H9"/>
      <c r="I9"/>
      <c r="J9"/>
      <c r="K9"/>
      <c r="L9"/>
      <c r="M9"/>
      <c r="N9"/>
    </row>
    <row r="10" spans="1:14" x14ac:dyDescent="0.25">
      <c r="A10"/>
      <c r="B10" s="16"/>
      <c r="C10"/>
      <c r="D10"/>
      <c r="E10"/>
      <c r="F10"/>
      <c r="G10"/>
      <c r="H10"/>
      <c r="I10"/>
      <c r="J10"/>
      <c r="K10"/>
      <c r="L10"/>
      <c r="M10"/>
      <c r="N10"/>
    </row>
    <row r="11" spans="1:14" x14ac:dyDescent="0.25">
      <c r="A11"/>
      <c r="B11" s="16"/>
      <c r="C11"/>
      <c r="D11"/>
      <c r="E11"/>
      <c r="F11"/>
      <c r="G11"/>
      <c r="H11"/>
      <c r="I11"/>
      <c r="J11"/>
      <c r="K11"/>
      <c r="L11"/>
      <c r="M11"/>
      <c r="N11"/>
    </row>
    <row r="12" spans="1:14" x14ac:dyDescent="0.25">
      <c r="A12"/>
      <c r="B12" s="16"/>
      <c r="C12"/>
      <c r="D12"/>
      <c r="E12"/>
      <c r="F12"/>
      <c r="G12"/>
      <c r="H12"/>
      <c r="I12"/>
      <c r="J12"/>
      <c r="K12"/>
      <c r="L12"/>
      <c r="M12"/>
      <c r="N12"/>
    </row>
    <row r="13" spans="1:14" x14ac:dyDescent="0.25">
      <c r="A13"/>
      <c r="B13" s="16"/>
      <c r="C13"/>
      <c r="D13"/>
      <c r="E13"/>
      <c r="F13"/>
      <c r="G13"/>
      <c r="H13"/>
      <c r="I13"/>
      <c r="J13"/>
      <c r="K13"/>
      <c r="L13"/>
      <c r="M13"/>
      <c r="N13"/>
    </row>
    <row r="14" spans="1:14" x14ac:dyDescent="0.25">
      <c r="A14"/>
      <c r="B14" s="16"/>
      <c r="C14"/>
      <c r="D14"/>
      <c r="E14"/>
      <c r="F14"/>
      <c r="G14"/>
      <c r="H14"/>
      <c r="I14"/>
      <c r="J14"/>
      <c r="K14"/>
      <c r="L14"/>
      <c r="M14"/>
      <c r="N14"/>
    </row>
    <row r="15" spans="1:14" x14ac:dyDescent="0.25">
      <c r="A15"/>
      <c r="B15" s="16"/>
      <c r="C15"/>
      <c r="D15"/>
      <c r="E15"/>
      <c r="F15"/>
      <c r="G15"/>
      <c r="H15"/>
      <c r="I15"/>
      <c r="J15"/>
      <c r="K15"/>
      <c r="L15"/>
      <c r="M15"/>
      <c r="N15"/>
    </row>
    <row r="16" spans="1:14" x14ac:dyDescent="0.25">
      <c r="A16"/>
      <c r="B16" s="16"/>
      <c r="C16"/>
      <c r="D16"/>
      <c r="E16"/>
      <c r="F16"/>
      <c r="G16"/>
      <c r="H16"/>
      <c r="I16"/>
      <c r="J16"/>
      <c r="K16"/>
      <c r="L16"/>
      <c r="M16"/>
      <c r="N16"/>
    </row>
    <row r="17" spans="2:2" customFormat="1" x14ac:dyDescent="0.25">
      <c r="B17" s="16"/>
    </row>
    <row r="18" spans="2:2" customFormat="1" x14ac:dyDescent="0.25">
      <c r="B18" s="16"/>
    </row>
    <row r="19" spans="2:2" customFormat="1" x14ac:dyDescent="0.25">
      <c r="B19" s="16"/>
    </row>
    <row r="20" spans="2:2" customFormat="1" x14ac:dyDescent="0.25">
      <c r="B20" s="16"/>
    </row>
    <row r="21" spans="2:2" customFormat="1" x14ac:dyDescent="0.25">
      <c r="B21" s="16"/>
    </row>
    <row r="22" spans="2:2" customFormat="1" x14ac:dyDescent="0.25">
      <c r="B22" s="16"/>
    </row>
    <row r="23" spans="2:2" customFormat="1" x14ac:dyDescent="0.25">
      <c r="B23" s="16"/>
    </row>
    <row r="24" spans="2:2" customFormat="1" x14ac:dyDescent="0.25">
      <c r="B24" s="16"/>
    </row>
    <row r="25" spans="2:2" customFormat="1" x14ac:dyDescent="0.25">
      <c r="B25" s="16"/>
    </row>
    <row r="26" spans="2:2" customFormat="1" x14ac:dyDescent="0.25">
      <c r="B26" s="16"/>
    </row>
    <row r="27" spans="2:2" customFormat="1" x14ac:dyDescent="0.25">
      <c r="B27" s="16"/>
    </row>
    <row r="28" spans="2:2" customFormat="1" x14ac:dyDescent="0.25">
      <c r="B28" s="16"/>
    </row>
    <row r="29" spans="2:2" customFormat="1" x14ac:dyDescent="0.25">
      <c r="B29" s="16"/>
    </row>
    <row r="30" spans="2:2" customFormat="1" x14ac:dyDescent="0.25">
      <c r="B30" s="16"/>
    </row>
    <row r="31" spans="2:2" customFormat="1" x14ac:dyDescent="0.25">
      <c r="B31" s="16"/>
    </row>
    <row r="32" spans="2:2" customFormat="1" x14ac:dyDescent="0.25">
      <c r="B32" s="16"/>
    </row>
    <row r="33" spans="2:2" customFormat="1" x14ac:dyDescent="0.25">
      <c r="B33" s="16"/>
    </row>
    <row r="34" spans="2:2" customFormat="1" x14ac:dyDescent="0.25">
      <c r="B34" s="16"/>
    </row>
    <row r="35" spans="2:2" customFormat="1" x14ac:dyDescent="0.25">
      <c r="B35" s="16"/>
    </row>
    <row r="36" spans="2:2" customFormat="1" x14ac:dyDescent="0.25">
      <c r="B36" s="16"/>
    </row>
    <row r="37" spans="2:2" customFormat="1" x14ac:dyDescent="0.25">
      <c r="B37" s="16"/>
    </row>
    <row r="38" spans="2:2" customFormat="1" x14ac:dyDescent="0.25">
      <c r="B38" s="16"/>
    </row>
    <row r="39" spans="2:2" customFormat="1" x14ac:dyDescent="0.25">
      <c r="B39" s="16"/>
    </row>
    <row r="40" spans="2:2" customFormat="1" x14ac:dyDescent="0.25">
      <c r="B40" s="16"/>
    </row>
    <row r="41" spans="2:2" customFormat="1" x14ac:dyDescent="0.25">
      <c r="B41" s="16"/>
    </row>
    <row r="42" spans="2:2" customFormat="1" x14ac:dyDescent="0.25">
      <c r="B42" s="16"/>
    </row>
    <row r="43" spans="2:2" customFormat="1" x14ac:dyDescent="0.25">
      <c r="B43" s="16"/>
    </row>
    <row r="44" spans="2:2" customFormat="1" x14ac:dyDescent="0.25">
      <c r="B44" s="16"/>
    </row>
    <row r="45" spans="2:2" customFormat="1" x14ac:dyDescent="0.25">
      <c r="B45" s="16"/>
    </row>
    <row r="46" spans="2:2" customFormat="1" x14ac:dyDescent="0.25">
      <c r="B46" s="16"/>
    </row>
    <row r="47" spans="2:2" customFormat="1" x14ac:dyDescent="0.25">
      <c r="B47" s="16"/>
    </row>
    <row r="48" spans="2:2" customFormat="1" x14ac:dyDescent="0.25">
      <c r="B48" s="16"/>
    </row>
    <row r="49" spans="2:2" customFormat="1" x14ac:dyDescent="0.25">
      <c r="B49" s="16"/>
    </row>
    <row r="50" spans="2:2" customFormat="1" x14ac:dyDescent="0.25">
      <c r="B50" s="16"/>
    </row>
    <row r="51" spans="2:2" customFormat="1" x14ac:dyDescent="0.25">
      <c r="B51" s="16"/>
    </row>
    <row r="52" spans="2:2" customFormat="1" x14ac:dyDescent="0.25">
      <c r="B52" s="16"/>
    </row>
    <row r="53" spans="2:2" customFormat="1" x14ac:dyDescent="0.25">
      <c r="B53" s="16"/>
    </row>
    <row r="54" spans="2:2" customFormat="1" x14ac:dyDescent="0.25">
      <c r="B54" s="16"/>
    </row>
    <row r="55" spans="2:2" customFormat="1" x14ac:dyDescent="0.25">
      <c r="B55" s="16"/>
    </row>
    <row r="56" spans="2:2" customFormat="1" x14ac:dyDescent="0.25">
      <c r="B56" s="16"/>
    </row>
    <row r="57" spans="2:2" customFormat="1" x14ac:dyDescent="0.25">
      <c r="B57" s="16"/>
    </row>
    <row r="58" spans="2:2" customFormat="1" x14ac:dyDescent="0.25">
      <c r="B58" s="16"/>
    </row>
    <row r="59" spans="2:2" customFormat="1" x14ac:dyDescent="0.25">
      <c r="B59" s="16"/>
    </row>
    <row r="60" spans="2:2" customFormat="1" x14ac:dyDescent="0.25">
      <c r="B60" s="16"/>
    </row>
    <row r="61" spans="2:2" customFormat="1" x14ac:dyDescent="0.25">
      <c r="B61" s="16"/>
    </row>
    <row r="62" spans="2:2" customFormat="1" x14ac:dyDescent="0.25">
      <c r="B62" s="16"/>
    </row>
    <row r="63" spans="2:2" customFormat="1" x14ac:dyDescent="0.25">
      <c r="B63" s="16"/>
    </row>
    <row r="64" spans="2:2" customFormat="1" x14ac:dyDescent="0.25">
      <c r="B64" s="16"/>
    </row>
    <row r="65" spans="2:2" customFormat="1" x14ac:dyDescent="0.25">
      <c r="B65" s="16"/>
    </row>
    <row r="66" spans="2:2" customFormat="1" x14ac:dyDescent="0.25">
      <c r="B66" s="16"/>
    </row>
    <row r="67" spans="2:2" customFormat="1" x14ac:dyDescent="0.25">
      <c r="B67" s="16"/>
    </row>
    <row r="68" spans="2:2" customFormat="1" x14ac:dyDescent="0.25">
      <c r="B68" s="16"/>
    </row>
    <row r="69" spans="2:2" customFormat="1" x14ac:dyDescent="0.25">
      <c r="B69" s="16"/>
    </row>
    <row r="70" spans="2:2" customFormat="1" x14ac:dyDescent="0.25">
      <c r="B70" s="16"/>
    </row>
    <row r="71" spans="2:2" customFormat="1" x14ac:dyDescent="0.25">
      <c r="B71" s="16"/>
    </row>
    <row r="72" spans="2:2" customFormat="1" x14ac:dyDescent="0.25">
      <c r="B72" s="16"/>
    </row>
    <row r="73" spans="2:2" customFormat="1" x14ac:dyDescent="0.25">
      <c r="B73" s="16"/>
    </row>
    <row r="74" spans="2:2" customFormat="1" x14ac:dyDescent="0.25">
      <c r="B74" s="16"/>
    </row>
    <row r="75" spans="2:2" customFormat="1" x14ac:dyDescent="0.25">
      <c r="B75" s="16"/>
    </row>
    <row r="76" spans="2:2" customFormat="1" x14ac:dyDescent="0.25">
      <c r="B76" s="16"/>
    </row>
    <row r="77" spans="2:2" customFormat="1" x14ac:dyDescent="0.25">
      <c r="B77" s="16"/>
    </row>
    <row r="78" spans="2:2" customFormat="1" x14ac:dyDescent="0.25">
      <c r="B78" s="16"/>
    </row>
    <row r="79" spans="2:2" customFormat="1" x14ac:dyDescent="0.25">
      <c r="B79" s="16"/>
    </row>
    <row r="80" spans="2:2" customFormat="1" x14ac:dyDescent="0.25">
      <c r="B80" s="16"/>
    </row>
    <row r="81" spans="2:2" customFormat="1" x14ac:dyDescent="0.25">
      <c r="B81" s="16"/>
    </row>
    <row r="82" spans="2:2" customFormat="1" x14ac:dyDescent="0.25">
      <c r="B82" s="16"/>
    </row>
    <row r="83" spans="2:2" customFormat="1" x14ac:dyDescent="0.25">
      <c r="B83" s="16"/>
    </row>
    <row r="84" spans="2:2" customFormat="1" x14ac:dyDescent="0.25">
      <c r="B84" s="16"/>
    </row>
    <row r="85" spans="2:2" customFormat="1" x14ac:dyDescent="0.25">
      <c r="B85" s="16"/>
    </row>
    <row r="86" spans="2:2" customFormat="1" x14ac:dyDescent="0.25">
      <c r="B86" s="16"/>
    </row>
    <row r="87" spans="2:2" customFormat="1" x14ac:dyDescent="0.25">
      <c r="B87" s="16"/>
    </row>
    <row r="88" spans="2:2" customFormat="1" x14ac:dyDescent="0.25">
      <c r="B88" s="16"/>
    </row>
    <row r="89" spans="2:2" customFormat="1" x14ac:dyDescent="0.25">
      <c r="B89" s="16"/>
    </row>
    <row r="90" spans="2:2" customFormat="1" x14ac:dyDescent="0.25">
      <c r="B90" s="16"/>
    </row>
    <row r="91" spans="2:2" customFormat="1" x14ac:dyDescent="0.25">
      <c r="B91" s="16"/>
    </row>
    <row r="92" spans="2:2" customFormat="1" x14ac:dyDescent="0.25">
      <c r="B92" s="16"/>
    </row>
    <row r="93" spans="2:2" customFormat="1" x14ac:dyDescent="0.25">
      <c r="B93" s="16"/>
    </row>
    <row r="94" spans="2:2" customFormat="1" x14ac:dyDescent="0.25">
      <c r="B94" s="16"/>
    </row>
    <row r="95" spans="2:2" customFormat="1" x14ac:dyDescent="0.25">
      <c r="B95" s="16"/>
    </row>
    <row r="96" spans="2:2" customFormat="1" x14ac:dyDescent="0.25">
      <c r="B96" s="16"/>
    </row>
    <row r="97" spans="2:2" customFormat="1" x14ac:dyDescent="0.25">
      <c r="B97" s="16"/>
    </row>
    <row r="98" spans="2:2" customFormat="1" x14ac:dyDescent="0.25">
      <c r="B98" s="16"/>
    </row>
    <row r="99" spans="2:2" customFormat="1" x14ac:dyDescent="0.25">
      <c r="B99" s="16"/>
    </row>
    <row r="100" spans="2:2" customFormat="1" x14ac:dyDescent="0.25">
      <c r="B100" s="16"/>
    </row>
    <row r="101" spans="2:2" customFormat="1" x14ac:dyDescent="0.25">
      <c r="B101" s="16"/>
    </row>
    <row r="102" spans="2:2" customFormat="1" x14ac:dyDescent="0.25">
      <c r="B102" s="16"/>
    </row>
    <row r="103" spans="2:2" customFormat="1" x14ac:dyDescent="0.25">
      <c r="B103" s="16"/>
    </row>
    <row r="104" spans="2:2" customFormat="1" x14ac:dyDescent="0.25">
      <c r="B104" s="16"/>
    </row>
    <row r="105" spans="2:2" customFormat="1" x14ac:dyDescent="0.25">
      <c r="B105" s="16"/>
    </row>
    <row r="106" spans="2:2" customFormat="1" x14ac:dyDescent="0.25">
      <c r="B106" s="16"/>
    </row>
    <row r="107" spans="2:2" customFormat="1" x14ac:dyDescent="0.25">
      <c r="B107" s="16"/>
    </row>
    <row r="108" spans="2:2" customFormat="1" x14ac:dyDescent="0.25">
      <c r="B108" s="16"/>
    </row>
    <row r="109" spans="2:2" customFormat="1" x14ac:dyDescent="0.25">
      <c r="B109" s="16"/>
    </row>
    <row r="110" spans="2:2" customFormat="1" x14ac:dyDescent="0.25">
      <c r="B110" s="16"/>
    </row>
    <row r="111" spans="2:2" customFormat="1" x14ac:dyDescent="0.25">
      <c r="B111" s="16"/>
    </row>
    <row r="112" spans="2:2" customFormat="1" x14ac:dyDescent="0.25">
      <c r="B112" s="16"/>
    </row>
    <row r="113" spans="2:2" customFormat="1" x14ac:dyDescent="0.25">
      <c r="B113" s="16"/>
    </row>
    <row r="114" spans="2:2" customFormat="1" x14ac:dyDescent="0.25">
      <c r="B114" s="16"/>
    </row>
    <row r="115" spans="2:2" customFormat="1" x14ac:dyDescent="0.25">
      <c r="B115" s="16"/>
    </row>
    <row r="116" spans="2:2" customFormat="1" x14ac:dyDescent="0.25">
      <c r="B116" s="16"/>
    </row>
    <row r="117" spans="2:2" customFormat="1" x14ac:dyDescent="0.25">
      <c r="B117" s="16"/>
    </row>
    <row r="118" spans="2:2" customFormat="1" x14ac:dyDescent="0.25">
      <c r="B118" s="16"/>
    </row>
    <row r="119" spans="2:2" customFormat="1" x14ac:dyDescent="0.25">
      <c r="B119" s="16"/>
    </row>
    <row r="120" spans="2:2" customFormat="1" x14ac:dyDescent="0.25">
      <c r="B120" s="16"/>
    </row>
    <row r="121" spans="2:2" customFormat="1" x14ac:dyDescent="0.25">
      <c r="B121" s="16"/>
    </row>
    <row r="122" spans="2:2" customFormat="1" x14ac:dyDescent="0.25">
      <c r="B122" s="16"/>
    </row>
    <row r="123" spans="2:2" customFormat="1" x14ac:dyDescent="0.25">
      <c r="B123" s="16"/>
    </row>
    <row r="124" spans="2:2" customFormat="1" x14ac:dyDescent="0.25">
      <c r="B124" s="16"/>
    </row>
    <row r="125" spans="2:2" customFormat="1" x14ac:dyDescent="0.25">
      <c r="B125" s="16"/>
    </row>
    <row r="126" spans="2:2" customFormat="1" x14ac:dyDescent="0.25">
      <c r="B126" s="16"/>
    </row>
    <row r="127" spans="2:2" customFormat="1" x14ac:dyDescent="0.25">
      <c r="B127" s="16"/>
    </row>
    <row r="128" spans="2:2" customFormat="1" x14ac:dyDescent="0.25">
      <c r="B128" s="16"/>
    </row>
    <row r="129" spans="2:2" customFormat="1" x14ac:dyDescent="0.25">
      <c r="B129" s="16"/>
    </row>
    <row r="130" spans="2:2" customFormat="1" x14ac:dyDescent="0.25">
      <c r="B130" s="16"/>
    </row>
    <row r="131" spans="2:2" customFormat="1" x14ac:dyDescent="0.25">
      <c r="B131" s="16"/>
    </row>
    <row r="132" spans="2:2" customFormat="1" x14ac:dyDescent="0.25">
      <c r="B132" s="16"/>
    </row>
    <row r="133" spans="2:2" customFormat="1" x14ac:dyDescent="0.25">
      <c r="B133" s="16"/>
    </row>
    <row r="134" spans="2:2" customFormat="1" x14ac:dyDescent="0.25">
      <c r="B134" s="16"/>
    </row>
    <row r="135" spans="2:2" customFormat="1" x14ac:dyDescent="0.25">
      <c r="B135" s="16"/>
    </row>
    <row r="136" spans="2:2" customFormat="1" x14ac:dyDescent="0.25">
      <c r="B136" s="16"/>
    </row>
    <row r="137" spans="2:2" customFormat="1" x14ac:dyDescent="0.25">
      <c r="B137" s="16"/>
    </row>
    <row r="138" spans="2:2" customFormat="1" x14ac:dyDescent="0.25">
      <c r="B138" s="16"/>
    </row>
    <row r="139" spans="2:2" customFormat="1" x14ac:dyDescent="0.25">
      <c r="B139" s="16"/>
    </row>
    <row r="140" spans="2:2" customFormat="1" x14ac:dyDescent="0.25">
      <c r="B140" s="16"/>
    </row>
    <row r="141" spans="2:2" customFormat="1" x14ac:dyDescent="0.25">
      <c r="B141" s="16"/>
    </row>
    <row r="142" spans="2:2" customFormat="1" x14ac:dyDescent="0.25">
      <c r="B142" s="16"/>
    </row>
    <row r="143" spans="2:2" customFormat="1" x14ac:dyDescent="0.25">
      <c r="B143" s="16"/>
    </row>
    <row r="144" spans="2:2" customFormat="1" x14ac:dyDescent="0.25">
      <c r="B144" s="16"/>
    </row>
    <row r="145" spans="2:2" customFormat="1" x14ac:dyDescent="0.25">
      <c r="B145" s="16"/>
    </row>
    <row r="146" spans="2:2" customFormat="1" x14ac:dyDescent="0.25">
      <c r="B146" s="16"/>
    </row>
    <row r="147" spans="2:2" customFormat="1" x14ac:dyDescent="0.25">
      <c r="B147" s="16"/>
    </row>
    <row r="148" spans="2:2" customFormat="1" x14ac:dyDescent="0.25">
      <c r="B148" s="16"/>
    </row>
    <row r="149" spans="2:2" customFormat="1" x14ac:dyDescent="0.25">
      <c r="B149" s="16"/>
    </row>
    <row r="150" spans="2:2" customFormat="1" x14ac:dyDescent="0.25">
      <c r="B150" s="16"/>
    </row>
    <row r="151" spans="2:2" customFormat="1" x14ac:dyDescent="0.25">
      <c r="B151" s="16"/>
    </row>
    <row r="152" spans="2:2" customFormat="1" x14ac:dyDescent="0.25">
      <c r="B152" s="16"/>
    </row>
    <row r="153" spans="2:2" customFormat="1" x14ac:dyDescent="0.25">
      <c r="B153" s="16"/>
    </row>
    <row r="154" spans="2:2" customFormat="1" x14ac:dyDescent="0.25">
      <c r="B154" s="16"/>
    </row>
    <row r="155" spans="2:2" customFormat="1" x14ac:dyDescent="0.25">
      <c r="B155" s="16"/>
    </row>
    <row r="156" spans="2:2" customFormat="1" x14ac:dyDescent="0.25">
      <c r="B156" s="16"/>
    </row>
    <row r="157" spans="2:2" customFormat="1" x14ac:dyDescent="0.25">
      <c r="B157" s="16"/>
    </row>
    <row r="158" spans="2:2" customFormat="1" x14ac:dyDescent="0.25">
      <c r="B158" s="16"/>
    </row>
    <row r="159" spans="2:2" customFormat="1" x14ac:dyDescent="0.25">
      <c r="B159" s="16"/>
    </row>
    <row r="160" spans="2:2" customFormat="1" x14ac:dyDescent="0.25">
      <c r="B160" s="16"/>
    </row>
    <row r="161" spans="2:2" customFormat="1" x14ac:dyDescent="0.25">
      <c r="B161" s="16"/>
    </row>
    <row r="162" spans="2:2" customFormat="1" x14ac:dyDescent="0.25">
      <c r="B162" s="16"/>
    </row>
    <row r="163" spans="2:2" customFormat="1" x14ac:dyDescent="0.25">
      <c r="B163" s="16"/>
    </row>
    <row r="164" spans="2:2" customFormat="1" x14ac:dyDescent="0.25">
      <c r="B164" s="16"/>
    </row>
    <row r="165" spans="2:2" customFormat="1" x14ac:dyDescent="0.25">
      <c r="B165" s="16"/>
    </row>
    <row r="166" spans="2:2" customFormat="1" x14ac:dyDescent="0.25">
      <c r="B166" s="16"/>
    </row>
    <row r="167" spans="2:2" customFormat="1" x14ac:dyDescent="0.25">
      <c r="B167" s="16"/>
    </row>
    <row r="168" spans="2:2" customFormat="1" x14ac:dyDescent="0.25">
      <c r="B168" s="16"/>
    </row>
    <row r="169" spans="2:2" customFormat="1" x14ac:dyDescent="0.25">
      <c r="B169" s="16"/>
    </row>
    <row r="170" spans="2:2" customFormat="1" x14ac:dyDescent="0.25">
      <c r="B170" s="16"/>
    </row>
    <row r="171" spans="2:2" customFormat="1" x14ac:dyDescent="0.25">
      <c r="B171" s="16"/>
    </row>
    <row r="172" spans="2:2" customFormat="1" x14ac:dyDescent="0.25">
      <c r="B172" s="16"/>
    </row>
    <row r="173" spans="2:2" customFormat="1" x14ac:dyDescent="0.25">
      <c r="B173" s="16"/>
    </row>
    <row r="174" spans="2:2" customFormat="1" x14ac:dyDescent="0.25">
      <c r="B174" s="16"/>
    </row>
    <row r="175" spans="2:2" customFormat="1" x14ac:dyDescent="0.25">
      <c r="B175" s="16"/>
    </row>
    <row r="176" spans="2:2" customFormat="1" x14ac:dyDescent="0.25">
      <c r="B176" s="16"/>
    </row>
    <row r="177" spans="2:2" customFormat="1" x14ac:dyDescent="0.25">
      <c r="B177" s="16"/>
    </row>
    <row r="178" spans="2:2" customFormat="1" x14ac:dyDescent="0.25">
      <c r="B178" s="16"/>
    </row>
    <row r="179" spans="2:2" customFormat="1" x14ac:dyDescent="0.25">
      <c r="B179" s="16"/>
    </row>
    <row r="180" spans="2:2" customFormat="1" x14ac:dyDescent="0.25">
      <c r="B180" s="16"/>
    </row>
    <row r="181" spans="2:2" customFormat="1" x14ac:dyDescent="0.25">
      <c r="B181" s="16"/>
    </row>
    <row r="182" spans="2:2" customFormat="1" x14ac:dyDescent="0.25">
      <c r="B182" s="16"/>
    </row>
    <row r="183" spans="2:2" customFormat="1" x14ac:dyDescent="0.25">
      <c r="B183" s="16"/>
    </row>
    <row r="184" spans="2:2" customFormat="1" x14ac:dyDescent="0.25">
      <c r="B184" s="16"/>
    </row>
    <row r="185" spans="2:2" customFormat="1" x14ac:dyDescent="0.25">
      <c r="B185" s="16"/>
    </row>
    <row r="186" spans="2:2" customFormat="1" x14ac:dyDescent="0.25">
      <c r="B186" s="16"/>
    </row>
    <row r="187" spans="2:2" customFormat="1" x14ac:dyDescent="0.25">
      <c r="B187" s="16"/>
    </row>
    <row r="188" spans="2:2" customFormat="1" x14ac:dyDescent="0.25">
      <c r="B188" s="16"/>
    </row>
    <row r="189" spans="2:2" customFormat="1" x14ac:dyDescent="0.25">
      <c r="B189" s="16"/>
    </row>
    <row r="190" spans="2:2" customFormat="1" x14ac:dyDescent="0.25">
      <c r="B190" s="16"/>
    </row>
    <row r="191" spans="2:2" customFormat="1" x14ac:dyDescent="0.25">
      <c r="B191" s="16"/>
    </row>
    <row r="192" spans="2:2" customFormat="1" x14ac:dyDescent="0.25">
      <c r="B192" s="16"/>
    </row>
    <row r="193" spans="2:2" customFormat="1" x14ac:dyDescent="0.25">
      <c r="B193" s="16"/>
    </row>
    <row r="194" spans="2:2" customFormat="1" x14ac:dyDescent="0.25">
      <c r="B194" s="16"/>
    </row>
    <row r="195" spans="2:2" customFormat="1" x14ac:dyDescent="0.25">
      <c r="B195" s="16"/>
    </row>
    <row r="196" spans="2:2" customFormat="1" x14ac:dyDescent="0.25">
      <c r="B196" s="16"/>
    </row>
    <row r="197" spans="2:2" customFormat="1" x14ac:dyDescent="0.25">
      <c r="B197" s="16"/>
    </row>
    <row r="198" spans="2:2" customFormat="1" x14ac:dyDescent="0.25">
      <c r="B198" s="16"/>
    </row>
    <row r="199" spans="2:2" customFormat="1" x14ac:dyDescent="0.25">
      <c r="B199" s="16"/>
    </row>
    <row r="200" spans="2:2" customFormat="1" x14ac:dyDescent="0.25">
      <c r="B200" s="16"/>
    </row>
    <row r="201" spans="2:2" customFormat="1" x14ac:dyDescent="0.25">
      <c r="B201" s="16"/>
    </row>
    <row r="202" spans="2:2" customFormat="1" x14ac:dyDescent="0.25">
      <c r="B202" s="16"/>
    </row>
    <row r="203" spans="2:2" customFormat="1" x14ac:dyDescent="0.25">
      <c r="B203" s="16"/>
    </row>
    <row r="204" spans="2:2" customFormat="1" x14ac:dyDescent="0.25">
      <c r="B204" s="16"/>
    </row>
    <row r="205" spans="2:2" customFormat="1" x14ac:dyDescent="0.25">
      <c r="B205" s="16"/>
    </row>
    <row r="206" spans="2:2" customFormat="1" x14ac:dyDescent="0.25">
      <c r="B206" s="16"/>
    </row>
    <row r="207" spans="2:2" customFormat="1" x14ac:dyDescent="0.25">
      <c r="B207" s="16"/>
    </row>
    <row r="208" spans="2:2" customFormat="1" x14ac:dyDescent="0.25">
      <c r="B208" s="16"/>
    </row>
    <row r="209" spans="2:2" customFormat="1" x14ac:dyDescent="0.25">
      <c r="B209" s="16"/>
    </row>
    <row r="210" spans="2:2" customFormat="1" x14ac:dyDescent="0.25">
      <c r="B210" s="16"/>
    </row>
    <row r="211" spans="2:2" customFormat="1" x14ac:dyDescent="0.25">
      <c r="B211" s="16"/>
    </row>
    <row r="212" spans="2:2" customFormat="1" x14ac:dyDescent="0.25">
      <c r="B212" s="16"/>
    </row>
    <row r="213" spans="2:2" customFormat="1" x14ac:dyDescent="0.25">
      <c r="B213" s="16"/>
    </row>
    <row r="214" spans="2:2" customFormat="1" x14ac:dyDescent="0.25">
      <c r="B214" s="16"/>
    </row>
    <row r="215" spans="2:2" customFormat="1" x14ac:dyDescent="0.25">
      <c r="B215" s="16"/>
    </row>
    <row r="216" spans="2:2" customFormat="1" x14ac:dyDescent="0.25">
      <c r="B216" s="16"/>
    </row>
    <row r="217" spans="2:2" customFormat="1" x14ac:dyDescent="0.25">
      <c r="B217" s="16"/>
    </row>
    <row r="218" spans="2:2" customFormat="1" x14ac:dyDescent="0.25">
      <c r="B218" s="16"/>
    </row>
    <row r="219" spans="2:2" customFormat="1" x14ac:dyDescent="0.25">
      <c r="B219" s="16"/>
    </row>
    <row r="220" spans="2:2" customFormat="1" x14ac:dyDescent="0.25">
      <c r="B220" s="16"/>
    </row>
    <row r="221" spans="2:2" customFormat="1" x14ac:dyDescent="0.25">
      <c r="B221" s="16"/>
    </row>
    <row r="222" spans="2:2" customFormat="1" x14ac:dyDescent="0.25">
      <c r="B222" s="16"/>
    </row>
    <row r="223" spans="2:2" customFormat="1" x14ac:dyDescent="0.25">
      <c r="B223" s="16"/>
    </row>
    <row r="224" spans="2:2" customFormat="1" x14ac:dyDescent="0.25">
      <c r="B224" s="16"/>
    </row>
    <row r="225" spans="2:2" customFormat="1" x14ac:dyDescent="0.25">
      <c r="B225" s="16"/>
    </row>
    <row r="226" spans="2:2" customFormat="1" x14ac:dyDescent="0.25">
      <c r="B226" s="16"/>
    </row>
    <row r="227" spans="2:2" customFormat="1" x14ac:dyDescent="0.25">
      <c r="B227" s="16"/>
    </row>
    <row r="228" spans="2:2" customFormat="1" x14ac:dyDescent="0.25">
      <c r="B228" s="16"/>
    </row>
    <row r="229" spans="2:2" customFormat="1" x14ac:dyDescent="0.25">
      <c r="B229" s="16"/>
    </row>
    <row r="230" spans="2:2" customFormat="1" x14ac:dyDescent="0.25">
      <c r="B230" s="16"/>
    </row>
    <row r="231" spans="2:2" customFormat="1" x14ac:dyDescent="0.25">
      <c r="B231" s="16"/>
    </row>
    <row r="232" spans="2:2" customFormat="1" x14ac:dyDescent="0.25">
      <c r="B232" s="16"/>
    </row>
    <row r="233" spans="2:2" customFormat="1" x14ac:dyDescent="0.25">
      <c r="B233" s="16"/>
    </row>
    <row r="234" spans="2:2" customFormat="1" x14ac:dyDescent="0.25">
      <c r="B234" s="16"/>
    </row>
    <row r="235" spans="2:2" customFormat="1" x14ac:dyDescent="0.25">
      <c r="B235" s="16"/>
    </row>
    <row r="236" spans="2:2" customFormat="1" x14ac:dyDescent="0.25">
      <c r="B236" s="16"/>
    </row>
    <row r="237" spans="2:2" customFormat="1" x14ac:dyDescent="0.25">
      <c r="B237" s="16"/>
    </row>
    <row r="238" spans="2:2" customFormat="1" x14ac:dyDescent="0.25">
      <c r="B238" s="16"/>
    </row>
    <row r="239" spans="2:2" customFormat="1" x14ac:dyDescent="0.25">
      <c r="B239" s="16"/>
    </row>
    <row r="240" spans="2:2" customFormat="1" x14ac:dyDescent="0.25">
      <c r="B240" s="16"/>
    </row>
    <row r="241" spans="2:2" customFormat="1" x14ac:dyDescent="0.25">
      <c r="B241" s="16"/>
    </row>
    <row r="242" spans="2:2" customFormat="1" x14ac:dyDescent="0.25">
      <c r="B242" s="16"/>
    </row>
    <row r="243" spans="2:2" customFormat="1" x14ac:dyDescent="0.25">
      <c r="B243" s="16"/>
    </row>
    <row r="244" spans="2:2" customFormat="1" x14ac:dyDescent="0.25">
      <c r="B244" s="16"/>
    </row>
    <row r="245" spans="2:2" customFormat="1" x14ac:dyDescent="0.25">
      <c r="B245" s="16"/>
    </row>
    <row r="246" spans="2:2" customFormat="1" x14ac:dyDescent="0.25">
      <c r="B246" s="16"/>
    </row>
    <row r="247" spans="2:2" customFormat="1" x14ac:dyDescent="0.25">
      <c r="B247" s="16"/>
    </row>
    <row r="248" spans="2:2" customFormat="1" x14ac:dyDescent="0.25">
      <c r="B248" s="16"/>
    </row>
    <row r="249" spans="2:2" customFormat="1" x14ac:dyDescent="0.25">
      <c r="B249" s="16"/>
    </row>
    <row r="250" spans="2:2" customFormat="1" x14ac:dyDescent="0.25">
      <c r="B250" s="16"/>
    </row>
    <row r="251" spans="2:2" customFormat="1" x14ac:dyDescent="0.25">
      <c r="B251" s="16"/>
    </row>
    <row r="252" spans="2:2" customFormat="1" x14ac:dyDescent="0.25">
      <c r="B252" s="16"/>
    </row>
    <row r="253" spans="2:2" customFormat="1" x14ac:dyDescent="0.25">
      <c r="B253" s="16"/>
    </row>
    <row r="254" spans="2:2" customFormat="1" x14ac:dyDescent="0.25">
      <c r="B254" s="16"/>
    </row>
    <row r="255" spans="2:2" customFormat="1" x14ac:dyDescent="0.25">
      <c r="B255" s="16"/>
    </row>
    <row r="256" spans="2:2" customFormat="1" x14ac:dyDescent="0.25">
      <c r="B256" s="16"/>
    </row>
    <row r="257" spans="2:2" customFormat="1" x14ac:dyDescent="0.25">
      <c r="B257" s="16"/>
    </row>
    <row r="258" spans="2:2" customFormat="1" x14ac:dyDescent="0.25">
      <c r="B258" s="16"/>
    </row>
    <row r="259" spans="2:2" customFormat="1" x14ac:dyDescent="0.25">
      <c r="B259" s="16"/>
    </row>
    <row r="260" spans="2:2" customFormat="1" x14ac:dyDescent="0.25">
      <c r="B260" s="16"/>
    </row>
    <row r="261" spans="2:2" customFormat="1" x14ac:dyDescent="0.25">
      <c r="B261" s="16"/>
    </row>
    <row r="262" spans="2:2" customFormat="1" x14ac:dyDescent="0.25">
      <c r="B262" s="16"/>
    </row>
    <row r="263" spans="2:2" customFormat="1" x14ac:dyDescent="0.25">
      <c r="B263" s="16"/>
    </row>
    <row r="264" spans="2:2" customFormat="1" x14ac:dyDescent="0.25">
      <c r="B264" s="16"/>
    </row>
    <row r="265" spans="2:2" customFormat="1" x14ac:dyDescent="0.25">
      <c r="B265" s="16"/>
    </row>
    <row r="266" spans="2:2" customFormat="1" x14ac:dyDescent="0.25">
      <c r="B266" s="16"/>
    </row>
    <row r="267" spans="2:2" customFormat="1" x14ac:dyDescent="0.25">
      <c r="B267" s="16"/>
    </row>
    <row r="268" spans="2:2" customFormat="1" x14ac:dyDescent="0.25">
      <c r="B268" s="16"/>
    </row>
    <row r="269" spans="2:2" customFormat="1" x14ac:dyDescent="0.25">
      <c r="B269" s="16"/>
    </row>
    <row r="270" spans="2:2" customFormat="1" x14ac:dyDescent="0.25">
      <c r="B270" s="16"/>
    </row>
    <row r="271" spans="2:2" customFormat="1" x14ac:dyDescent="0.25">
      <c r="B271" s="16"/>
    </row>
    <row r="272" spans="2:2" customFormat="1" x14ac:dyDescent="0.25">
      <c r="B272" s="16"/>
    </row>
    <row r="273" spans="2:2" customFormat="1" x14ac:dyDescent="0.25">
      <c r="B273" s="16"/>
    </row>
    <row r="274" spans="2:2" customFormat="1" x14ac:dyDescent="0.25">
      <c r="B274" s="16"/>
    </row>
    <row r="275" spans="2:2" customFormat="1" x14ac:dyDescent="0.25">
      <c r="B275" s="16"/>
    </row>
    <row r="276" spans="2:2" customFormat="1" x14ac:dyDescent="0.25">
      <c r="B276" s="16"/>
    </row>
    <row r="277" spans="2:2" customFormat="1" x14ac:dyDescent="0.25">
      <c r="B277" s="16"/>
    </row>
    <row r="278" spans="2:2" customFormat="1" x14ac:dyDescent="0.25">
      <c r="B278" s="16"/>
    </row>
    <row r="279" spans="2:2" customFormat="1" x14ac:dyDescent="0.25">
      <c r="B279" s="16"/>
    </row>
    <row r="280" spans="2:2" customFormat="1" x14ac:dyDescent="0.25">
      <c r="B280" s="16"/>
    </row>
    <row r="281" spans="2:2" customFormat="1" x14ac:dyDescent="0.25">
      <c r="B281" s="16"/>
    </row>
    <row r="282" spans="2:2" customFormat="1" x14ac:dyDescent="0.25">
      <c r="B282" s="16"/>
    </row>
    <row r="283" spans="2:2" customFormat="1" x14ac:dyDescent="0.25">
      <c r="B283" s="16"/>
    </row>
    <row r="284" spans="2:2" customFormat="1" x14ac:dyDescent="0.25">
      <c r="B284" s="16"/>
    </row>
    <row r="285" spans="2:2" customFormat="1" x14ac:dyDescent="0.25">
      <c r="B285" s="16"/>
    </row>
    <row r="286" spans="2:2" customFormat="1" x14ac:dyDescent="0.25">
      <c r="B286" s="16"/>
    </row>
    <row r="287" spans="2:2" customFormat="1" x14ac:dyDescent="0.25">
      <c r="B287" s="16"/>
    </row>
    <row r="288" spans="2:2" customFormat="1" x14ac:dyDescent="0.25">
      <c r="B288" s="16"/>
    </row>
    <row r="289" spans="2:2" customFormat="1" x14ac:dyDescent="0.25">
      <c r="B289" s="16"/>
    </row>
    <row r="290" spans="2:2" customFormat="1" x14ac:dyDescent="0.25">
      <c r="B290" s="16"/>
    </row>
    <row r="291" spans="2:2" customFormat="1" x14ac:dyDescent="0.25">
      <c r="B291" s="16"/>
    </row>
    <row r="292" spans="2:2" customFormat="1" x14ac:dyDescent="0.25">
      <c r="B292" s="16"/>
    </row>
    <row r="293" spans="2:2" customFormat="1" x14ac:dyDescent="0.25">
      <c r="B293" s="16"/>
    </row>
    <row r="294" spans="2:2" customFormat="1" x14ac:dyDescent="0.25">
      <c r="B294" s="16"/>
    </row>
    <row r="295" spans="2:2" customFormat="1" x14ac:dyDescent="0.25">
      <c r="B295" s="16"/>
    </row>
    <row r="296" spans="2:2" customFormat="1" x14ac:dyDescent="0.25">
      <c r="B296" s="16"/>
    </row>
    <row r="297" spans="2:2" customFormat="1" x14ac:dyDescent="0.25">
      <c r="B297" s="16"/>
    </row>
    <row r="298" spans="2:2" customFormat="1" x14ac:dyDescent="0.25">
      <c r="B298" s="16"/>
    </row>
    <row r="299" spans="2:2" customFormat="1" x14ac:dyDescent="0.25">
      <c r="B299" s="16"/>
    </row>
    <row r="300" spans="2:2" customFormat="1" x14ac:dyDescent="0.25">
      <c r="B300" s="16"/>
    </row>
    <row r="301" spans="2:2" customFormat="1" x14ac:dyDescent="0.25">
      <c r="B301" s="16"/>
    </row>
    <row r="302" spans="2:2" customFormat="1" x14ac:dyDescent="0.25">
      <c r="B302" s="16"/>
    </row>
    <row r="303" spans="2:2" customFormat="1" x14ac:dyDescent="0.25">
      <c r="B303" s="16"/>
    </row>
    <row r="304" spans="2:2" customFormat="1" x14ac:dyDescent="0.25">
      <c r="B304" s="16"/>
    </row>
    <row r="305" spans="2:2" customFormat="1" x14ac:dyDescent="0.25">
      <c r="B305" s="16"/>
    </row>
    <row r="306" spans="2:2" customFormat="1" x14ac:dyDescent="0.25">
      <c r="B306" s="16"/>
    </row>
    <row r="307" spans="2:2" customFormat="1" x14ac:dyDescent="0.25">
      <c r="B307" s="16"/>
    </row>
    <row r="308" spans="2:2" customFormat="1" x14ac:dyDescent="0.25">
      <c r="B308" s="16"/>
    </row>
    <row r="309" spans="2:2" customFormat="1" x14ac:dyDescent="0.25">
      <c r="B309" s="16"/>
    </row>
    <row r="310" spans="2:2" customFormat="1" x14ac:dyDescent="0.25">
      <c r="B310" s="16"/>
    </row>
    <row r="311" spans="2:2" customFormat="1" x14ac:dyDescent="0.25">
      <c r="B311" s="16"/>
    </row>
    <row r="312" spans="2:2" customFormat="1" x14ac:dyDescent="0.25">
      <c r="B312" s="16"/>
    </row>
    <row r="313" spans="2:2" customFormat="1" x14ac:dyDescent="0.25">
      <c r="B313" s="16"/>
    </row>
    <row r="314" spans="2:2" customFormat="1" x14ac:dyDescent="0.25">
      <c r="B314" s="16"/>
    </row>
    <row r="315" spans="2:2" customFormat="1" x14ac:dyDescent="0.25">
      <c r="B315" s="16"/>
    </row>
    <row r="316" spans="2:2" customFormat="1" x14ac:dyDescent="0.25">
      <c r="B316" s="16"/>
    </row>
    <row r="317" spans="2:2" customFormat="1" x14ac:dyDescent="0.25">
      <c r="B317" s="16"/>
    </row>
    <row r="318" spans="2:2" customFormat="1" x14ac:dyDescent="0.25">
      <c r="B318" s="16"/>
    </row>
    <row r="319" spans="2:2" customFormat="1" x14ac:dyDescent="0.25">
      <c r="B319" s="16"/>
    </row>
    <row r="320" spans="2:2" customFormat="1" x14ac:dyDescent="0.25">
      <c r="B320" s="16"/>
    </row>
    <row r="321" spans="2:2" customFormat="1" x14ac:dyDescent="0.25">
      <c r="B321" s="16"/>
    </row>
    <row r="322" spans="2:2" customFormat="1" x14ac:dyDescent="0.25">
      <c r="B322" s="16"/>
    </row>
    <row r="323" spans="2:2" customFormat="1" x14ac:dyDescent="0.25">
      <c r="B323" s="16"/>
    </row>
    <row r="324" spans="2:2" customFormat="1" x14ac:dyDescent="0.25">
      <c r="B324" s="16"/>
    </row>
    <row r="325" spans="2:2" customFormat="1" x14ac:dyDescent="0.25">
      <c r="B325" s="16"/>
    </row>
    <row r="326" spans="2:2" customFormat="1" x14ac:dyDescent="0.25">
      <c r="B326" s="16"/>
    </row>
    <row r="327" spans="2:2" customFormat="1" x14ac:dyDescent="0.25">
      <c r="B327" s="16"/>
    </row>
    <row r="328" spans="2:2" customFormat="1" x14ac:dyDescent="0.25">
      <c r="B328" s="16"/>
    </row>
    <row r="329" spans="2:2" customFormat="1" x14ac:dyDescent="0.25">
      <c r="B329" s="16"/>
    </row>
    <row r="330" spans="2:2" customFormat="1" x14ac:dyDescent="0.25">
      <c r="B330" s="16"/>
    </row>
    <row r="331" spans="2:2" customFormat="1" x14ac:dyDescent="0.25">
      <c r="B331" s="16"/>
    </row>
    <row r="332" spans="2:2" customFormat="1" x14ac:dyDescent="0.25">
      <c r="B332" s="16"/>
    </row>
    <row r="333" spans="2:2" customFormat="1" x14ac:dyDescent="0.25">
      <c r="B333" s="16"/>
    </row>
    <row r="334" spans="2:2" customFormat="1" x14ac:dyDescent="0.25">
      <c r="B334" s="16"/>
    </row>
    <row r="335" spans="2:2" customFormat="1" x14ac:dyDescent="0.25">
      <c r="B335" s="16"/>
    </row>
    <row r="336" spans="2:2" customFormat="1" x14ac:dyDescent="0.25">
      <c r="B336" s="16"/>
    </row>
    <row r="337" spans="2:2" customFormat="1" x14ac:dyDescent="0.25">
      <c r="B337" s="16"/>
    </row>
    <row r="338" spans="2:2" customFormat="1" x14ac:dyDescent="0.25">
      <c r="B338" s="16"/>
    </row>
    <row r="339" spans="2:2" customFormat="1" x14ac:dyDescent="0.25">
      <c r="B339" s="16"/>
    </row>
    <row r="340" spans="2:2" customFormat="1" x14ac:dyDescent="0.25">
      <c r="B340" s="16"/>
    </row>
    <row r="341" spans="2:2" customFormat="1" x14ac:dyDescent="0.25">
      <c r="B341" s="16"/>
    </row>
    <row r="342" spans="2:2" customFormat="1" x14ac:dyDescent="0.25">
      <c r="B342" s="16"/>
    </row>
    <row r="343" spans="2:2" customFormat="1" x14ac:dyDescent="0.25">
      <c r="B343" s="16"/>
    </row>
    <row r="344" spans="2:2" customFormat="1" x14ac:dyDescent="0.25">
      <c r="B344" s="16"/>
    </row>
    <row r="345" spans="2:2" customFormat="1" x14ac:dyDescent="0.25">
      <c r="B345" s="16"/>
    </row>
    <row r="346" spans="2:2" customFormat="1" x14ac:dyDescent="0.25">
      <c r="B346" s="16"/>
    </row>
    <row r="347" spans="2:2" customFormat="1" x14ac:dyDescent="0.25">
      <c r="B347" s="16"/>
    </row>
    <row r="348" spans="2:2" customFormat="1" x14ac:dyDescent="0.25">
      <c r="B348" s="16"/>
    </row>
    <row r="349" spans="2:2" customFormat="1" x14ac:dyDescent="0.25">
      <c r="B349" s="16"/>
    </row>
    <row r="350" spans="2:2" customFormat="1" x14ac:dyDescent="0.25">
      <c r="B350" s="16"/>
    </row>
    <row r="351" spans="2:2" customFormat="1" x14ac:dyDescent="0.25">
      <c r="B351" s="16"/>
    </row>
    <row r="352" spans="2:2" customFormat="1" x14ac:dyDescent="0.25">
      <c r="B352" s="16"/>
    </row>
    <row r="353" spans="2:2" customFormat="1" x14ac:dyDescent="0.25">
      <c r="B353" s="16"/>
    </row>
    <row r="354" spans="2:2" customFormat="1" x14ac:dyDescent="0.25">
      <c r="B354" s="16"/>
    </row>
    <row r="355" spans="2:2" customFormat="1" x14ac:dyDescent="0.25">
      <c r="B355" s="16"/>
    </row>
    <row r="356" spans="2:2" customFormat="1" x14ac:dyDescent="0.25">
      <c r="B356" s="16"/>
    </row>
    <row r="357" spans="2:2" customFormat="1" x14ac:dyDescent="0.25">
      <c r="B357" s="16"/>
    </row>
    <row r="358" spans="2:2" customFormat="1" x14ac:dyDescent="0.25">
      <c r="B358" s="16"/>
    </row>
    <row r="359" spans="2:2" customFormat="1" x14ac:dyDescent="0.25">
      <c r="B359" s="16"/>
    </row>
    <row r="360" spans="2:2" customFormat="1" x14ac:dyDescent="0.25">
      <c r="B360" s="16"/>
    </row>
    <row r="361" spans="2:2" customFormat="1" x14ac:dyDescent="0.25">
      <c r="B361" s="16"/>
    </row>
    <row r="362" spans="2:2" customFormat="1" x14ac:dyDescent="0.25">
      <c r="B362" s="16"/>
    </row>
    <row r="363" spans="2:2" customFormat="1" x14ac:dyDescent="0.25">
      <c r="B363" s="16"/>
    </row>
    <row r="364" spans="2:2" customFormat="1" x14ac:dyDescent="0.25">
      <c r="B364" s="16"/>
    </row>
    <row r="365" spans="2:2" customFormat="1" x14ac:dyDescent="0.25">
      <c r="B365" s="16"/>
    </row>
    <row r="366" spans="2:2" customFormat="1" x14ac:dyDescent="0.25">
      <c r="B366" s="16"/>
    </row>
    <row r="367" spans="2:2" customFormat="1" x14ac:dyDescent="0.25">
      <c r="B367" s="16"/>
    </row>
    <row r="368" spans="2:2" customFormat="1" x14ac:dyDescent="0.25">
      <c r="B368" s="16"/>
    </row>
    <row r="369" spans="2:2" customFormat="1" x14ac:dyDescent="0.25">
      <c r="B369" s="16"/>
    </row>
    <row r="370" spans="2:2" customFormat="1" x14ac:dyDescent="0.25">
      <c r="B370" s="16"/>
    </row>
    <row r="371" spans="2:2" customFormat="1" x14ac:dyDescent="0.25">
      <c r="B371" s="16"/>
    </row>
    <row r="372" spans="2:2" customFormat="1" x14ac:dyDescent="0.25">
      <c r="B372" s="16"/>
    </row>
    <row r="373" spans="2:2" customFormat="1" x14ac:dyDescent="0.25">
      <c r="B373" s="16"/>
    </row>
    <row r="374" spans="2:2" customFormat="1" x14ac:dyDescent="0.25">
      <c r="B374" s="16"/>
    </row>
    <row r="375" spans="2:2" customFormat="1" x14ac:dyDescent="0.25">
      <c r="B375" s="16"/>
    </row>
    <row r="376" spans="2:2" customFormat="1" x14ac:dyDescent="0.25">
      <c r="B376" s="16"/>
    </row>
    <row r="377" spans="2:2" customFormat="1" x14ac:dyDescent="0.25">
      <c r="B377" s="16"/>
    </row>
    <row r="378" spans="2:2" customFormat="1" x14ac:dyDescent="0.25">
      <c r="B378" s="16"/>
    </row>
    <row r="379" spans="2:2" customFormat="1" x14ac:dyDescent="0.25">
      <c r="B379" s="16"/>
    </row>
    <row r="380" spans="2:2" customFormat="1" x14ac:dyDescent="0.25">
      <c r="B380" s="16"/>
    </row>
    <row r="381" spans="2:2" customFormat="1" x14ac:dyDescent="0.25">
      <c r="B381" s="16"/>
    </row>
    <row r="382" spans="2:2" customFormat="1" x14ac:dyDescent="0.25">
      <c r="B382" s="16"/>
    </row>
    <row r="383" spans="2:2" customFormat="1" x14ac:dyDescent="0.25">
      <c r="B383" s="16"/>
    </row>
    <row r="384" spans="2:2" customFormat="1" x14ac:dyDescent="0.25">
      <c r="B384" s="16"/>
    </row>
    <row r="385" spans="2:2" customFormat="1" x14ac:dyDescent="0.25">
      <c r="B385" s="16"/>
    </row>
    <row r="386" spans="2:2" customFormat="1" x14ac:dyDescent="0.25">
      <c r="B386" s="16"/>
    </row>
    <row r="387" spans="2:2" customFormat="1" x14ac:dyDescent="0.25">
      <c r="B387" s="16"/>
    </row>
    <row r="388" spans="2:2" customFormat="1" x14ac:dyDescent="0.25">
      <c r="B388" s="16"/>
    </row>
    <row r="389" spans="2:2" customFormat="1" x14ac:dyDescent="0.25">
      <c r="B389" s="16"/>
    </row>
    <row r="390" spans="2:2" customFormat="1" x14ac:dyDescent="0.25">
      <c r="B390" s="16"/>
    </row>
    <row r="391" spans="2:2" customFormat="1" x14ac:dyDescent="0.25">
      <c r="B391" s="16"/>
    </row>
    <row r="392" spans="2:2" customFormat="1" x14ac:dyDescent="0.25">
      <c r="B392" s="16"/>
    </row>
    <row r="393" spans="2:2" customFormat="1" x14ac:dyDescent="0.25">
      <c r="B393" s="16"/>
    </row>
    <row r="394" spans="2:2" customFormat="1" x14ac:dyDescent="0.25">
      <c r="B394" s="16"/>
    </row>
    <row r="395" spans="2:2" customFormat="1" x14ac:dyDescent="0.25">
      <c r="B395" s="16"/>
    </row>
    <row r="396" spans="2:2" customFormat="1" x14ac:dyDescent="0.25">
      <c r="B396" s="1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zoomScale="145" zoomScaleNormal="145" workbookViewId="0">
      <selection activeCell="C17" sqref="C17"/>
    </sheetView>
  </sheetViews>
  <sheetFormatPr baseColWidth="10" defaultRowHeight="15" x14ac:dyDescent="0.25"/>
  <cols>
    <col min="1" max="1" width="17.85546875" style="13" customWidth="1"/>
    <col min="2" max="2" width="16" style="13" customWidth="1"/>
  </cols>
  <sheetData>
    <row r="1" spans="1:2" ht="30" customHeight="1" x14ac:dyDescent="0.25">
      <c r="A1" s="2" t="s">
        <v>2</v>
      </c>
      <c r="B1" s="2" t="s">
        <v>84</v>
      </c>
    </row>
    <row r="2" spans="1:2" ht="30" customHeight="1" x14ac:dyDescent="0.25">
      <c r="A2" s="1">
        <v>1</v>
      </c>
      <c r="B2" s="1" t="s">
        <v>32</v>
      </c>
    </row>
    <row r="3" spans="1:2" x14ac:dyDescent="0.25">
      <c r="A3" s="1">
        <v>2</v>
      </c>
      <c r="B3" s="1" t="s">
        <v>15</v>
      </c>
    </row>
    <row r="4" spans="1:2" x14ac:dyDescent="0.25">
      <c r="A4" s="1">
        <v>3</v>
      </c>
      <c r="B4" s="1" t="s">
        <v>49</v>
      </c>
    </row>
    <row r="5" spans="1:2" x14ac:dyDescent="0.25">
      <c r="A5" s="1">
        <v>4</v>
      </c>
      <c r="B5" s="1" t="s">
        <v>23</v>
      </c>
    </row>
    <row r="6" spans="1:2" ht="30" customHeight="1" x14ac:dyDescent="0.25">
      <c r="A6" s="1">
        <v>5</v>
      </c>
      <c r="B6" s="1" t="s">
        <v>58</v>
      </c>
    </row>
    <row r="7" spans="1:2" x14ac:dyDescent="0.25">
      <c r="A7" s="1">
        <v>6</v>
      </c>
      <c r="B7" s="1" t="s">
        <v>47</v>
      </c>
    </row>
    <row r="8" spans="1:2" x14ac:dyDescent="0.25">
      <c r="A8" s="1">
        <v>7</v>
      </c>
      <c r="B8" s="1" t="s">
        <v>41</v>
      </c>
    </row>
    <row r="9" spans="1:2" x14ac:dyDescent="0.25">
      <c r="A9" s="1">
        <v>8</v>
      </c>
      <c r="B9" s="1" t="s">
        <v>85</v>
      </c>
    </row>
    <row r="10" spans="1:2" x14ac:dyDescent="0.25">
      <c r="A10" s="1">
        <v>9</v>
      </c>
      <c r="B10" s="1" t="s">
        <v>26</v>
      </c>
    </row>
    <row r="11" spans="1:2" x14ac:dyDescent="0.25">
      <c r="A11" s="1">
        <v>10</v>
      </c>
      <c r="B11" s="1" t="s">
        <v>34</v>
      </c>
    </row>
    <row r="12" spans="1:2" x14ac:dyDescent="0.25">
      <c r="A12" s="1">
        <v>11</v>
      </c>
      <c r="B12" s="1" t="s">
        <v>46</v>
      </c>
    </row>
    <row r="13" spans="1:2" x14ac:dyDescent="0.25">
      <c r="A13" s="1">
        <v>12</v>
      </c>
      <c r="B13" s="1" t="s">
        <v>20</v>
      </c>
    </row>
    <row r="14" spans="1:2" x14ac:dyDescent="0.25">
      <c r="A14" s="1">
        <v>13</v>
      </c>
      <c r="B14" s="1" t="s">
        <v>86</v>
      </c>
    </row>
    <row r="15" spans="1:2" x14ac:dyDescent="0.25">
      <c r="A15" s="1">
        <v>14</v>
      </c>
      <c r="B15" s="1" t="s">
        <v>29</v>
      </c>
    </row>
    <row r="16" spans="1:2" x14ac:dyDescent="0.25">
      <c r="A16" s="1">
        <v>15</v>
      </c>
      <c r="B16" s="1" t="s">
        <v>14</v>
      </c>
    </row>
    <row r="17" spans="1:2" x14ac:dyDescent="0.25">
      <c r="A17" s="1"/>
      <c r="B17" s="1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baseColWidth="10" defaultRowHeight="15" x14ac:dyDescent="0.25"/>
  <sheetData>
    <row r="1" spans="1:2" x14ac:dyDescent="0.25">
      <c r="A1" s="2" t="s">
        <v>3</v>
      </c>
      <c r="B1" s="2" t="s">
        <v>87</v>
      </c>
    </row>
    <row r="2" spans="1:2" x14ac:dyDescent="0.25">
      <c r="A2" s="1">
        <v>1</v>
      </c>
      <c r="B2" s="1" t="s">
        <v>16</v>
      </c>
    </row>
    <row r="3" spans="1:2" x14ac:dyDescent="0.25">
      <c r="A3" s="1">
        <v>2</v>
      </c>
      <c r="B3" s="1" t="s">
        <v>21</v>
      </c>
    </row>
    <row r="4" spans="1:2" x14ac:dyDescent="0.25">
      <c r="A4">
        <v>0</v>
      </c>
      <c r="B4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activeCell="C2" sqref="C2:C11"/>
    </sheetView>
  </sheetViews>
  <sheetFormatPr baseColWidth="10" defaultRowHeight="15" x14ac:dyDescent="0.25"/>
  <cols>
    <col min="2" max="3" width="15.42578125" style="13" customWidth="1"/>
  </cols>
  <sheetData>
    <row r="1" spans="1:3" ht="30" customHeight="1" x14ac:dyDescent="0.25">
      <c r="A1" s="2" t="s">
        <v>4</v>
      </c>
      <c r="B1" s="2" t="s">
        <v>88</v>
      </c>
      <c r="C1" s="2" t="s">
        <v>89</v>
      </c>
    </row>
    <row r="2" spans="1:3" x14ac:dyDescent="0.25">
      <c r="A2" s="1">
        <v>1</v>
      </c>
      <c r="B2" s="1" t="s">
        <v>42</v>
      </c>
      <c r="C2" s="1" t="s">
        <v>90</v>
      </c>
    </row>
    <row r="3" spans="1:3" x14ac:dyDescent="0.25">
      <c r="A3" s="1">
        <v>2</v>
      </c>
      <c r="B3" s="7" t="s">
        <v>17</v>
      </c>
      <c r="C3" s="7" t="s">
        <v>17</v>
      </c>
    </row>
    <row r="4" spans="1:3" ht="30" customHeight="1" x14ac:dyDescent="0.25">
      <c r="A4" s="1">
        <v>3</v>
      </c>
      <c r="B4" s="1" t="s">
        <v>56</v>
      </c>
      <c r="C4" s="1" t="s">
        <v>91</v>
      </c>
    </row>
    <row r="5" spans="1:3" x14ac:dyDescent="0.25">
      <c r="A5" s="1">
        <v>4</v>
      </c>
      <c r="B5" s="1" t="s">
        <v>44</v>
      </c>
      <c r="C5" s="1" t="s">
        <v>90</v>
      </c>
    </row>
    <row r="6" spans="1:3" x14ac:dyDescent="0.25">
      <c r="A6" s="1">
        <v>5</v>
      </c>
      <c r="B6" s="1" t="s">
        <v>25</v>
      </c>
      <c r="C6" s="1" t="s">
        <v>52</v>
      </c>
    </row>
    <row r="7" spans="1:3" x14ac:dyDescent="0.25">
      <c r="A7" s="1">
        <v>6</v>
      </c>
      <c r="B7" s="1" t="s">
        <v>50</v>
      </c>
      <c r="C7" s="1" t="s">
        <v>52</v>
      </c>
    </row>
    <row r="8" spans="1:3" ht="30" customHeight="1" x14ac:dyDescent="0.25">
      <c r="A8" s="1">
        <v>7</v>
      </c>
      <c r="B8" s="1" t="s">
        <v>92</v>
      </c>
      <c r="C8" s="1" t="s">
        <v>91</v>
      </c>
    </row>
    <row r="9" spans="1:3" x14ac:dyDescent="0.25">
      <c r="A9" s="1">
        <v>8</v>
      </c>
      <c r="B9" s="1" t="s">
        <v>53</v>
      </c>
      <c r="C9" s="1" t="s">
        <v>93</v>
      </c>
    </row>
    <row r="10" spans="1:3" x14ac:dyDescent="0.25">
      <c r="A10" s="1">
        <v>9</v>
      </c>
      <c r="B10" s="1" t="s">
        <v>75</v>
      </c>
      <c r="C10" s="1" t="s">
        <v>52</v>
      </c>
    </row>
    <row r="11" spans="1:3" ht="30" customHeight="1" x14ac:dyDescent="0.25">
      <c r="A11" s="1">
        <v>0</v>
      </c>
      <c r="B11" s="1" t="s">
        <v>14</v>
      </c>
      <c r="C11" s="1" t="s">
        <v>14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0"/>
  <sheetViews>
    <sheetView topLeftCell="A34" workbookViewId="0">
      <selection activeCell="B41" sqref="B41"/>
    </sheetView>
  </sheetViews>
  <sheetFormatPr baseColWidth="10" defaultRowHeight="15" x14ac:dyDescent="0.25"/>
  <cols>
    <col min="1" max="1" width="15" style="13" bestFit="1" customWidth="1"/>
    <col min="2" max="2" width="17.42578125" style="13" customWidth="1"/>
  </cols>
  <sheetData>
    <row r="1" spans="1:2" x14ac:dyDescent="0.25">
      <c r="A1" t="s">
        <v>5</v>
      </c>
      <c r="B1" t="s">
        <v>94</v>
      </c>
    </row>
    <row r="2" spans="1:2" x14ac:dyDescent="0.25">
      <c r="A2">
        <v>1</v>
      </c>
      <c r="B2" t="s">
        <v>40</v>
      </c>
    </row>
    <row r="3" spans="1:2" x14ac:dyDescent="0.25">
      <c r="A3">
        <v>2</v>
      </c>
      <c r="B3" t="s">
        <v>18</v>
      </c>
    </row>
    <row r="4" spans="1:2" x14ac:dyDescent="0.25">
      <c r="A4">
        <v>3</v>
      </c>
      <c r="B4" t="s">
        <v>59</v>
      </c>
    </row>
    <row r="5" spans="1:2" x14ac:dyDescent="0.25">
      <c r="A5">
        <v>4</v>
      </c>
      <c r="B5" t="s">
        <v>45</v>
      </c>
    </row>
    <row r="6" spans="1:2" x14ac:dyDescent="0.25">
      <c r="A6">
        <v>5</v>
      </c>
      <c r="B6" t="s">
        <v>60</v>
      </c>
    </row>
    <row r="7" spans="1:2" x14ac:dyDescent="0.25">
      <c r="A7">
        <v>6</v>
      </c>
      <c r="B7" t="s">
        <v>55</v>
      </c>
    </row>
    <row r="8" spans="1:2" x14ac:dyDescent="0.25">
      <c r="A8">
        <v>7</v>
      </c>
      <c r="B8" t="s">
        <v>57</v>
      </c>
    </row>
    <row r="9" spans="1:2" x14ac:dyDescent="0.25">
      <c r="A9">
        <v>8</v>
      </c>
      <c r="B9" t="s">
        <v>31</v>
      </c>
    </row>
    <row r="10" spans="1:2" x14ac:dyDescent="0.25">
      <c r="A10">
        <v>9</v>
      </c>
      <c r="B10" t="s">
        <v>61</v>
      </c>
    </row>
    <row r="11" spans="1:2" x14ac:dyDescent="0.25">
      <c r="A11">
        <v>10</v>
      </c>
      <c r="B11" t="s">
        <v>25</v>
      </c>
    </row>
    <row r="12" spans="1:2" x14ac:dyDescent="0.25">
      <c r="A12">
        <v>11</v>
      </c>
      <c r="B12" t="s">
        <v>69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62</v>
      </c>
    </row>
    <row r="15" spans="1:2" x14ac:dyDescent="0.25">
      <c r="A15">
        <v>14</v>
      </c>
      <c r="B15" t="s">
        <v>58</v>
      </c>
    </row>
    <row r="16" spans="1:2" x14ac:dyDescent="0.25">
      <c r="A16">
        <v>15</v>
      </c>
      <c r="B16" t="s">
        <v>63</v>
      </c>
    </row>
    <row r="17" spans="1:2" x14ac:dyDescent="0.25">
      <c r="A17">
        <v>16</v>
      </c>
      <c r="B17" t="s">
        <v>64</v>
      </c>
    </row>
    <row r="18" spans="1:2" x14ac:dyDescent="0.25">
      <c r="A18">
        <v>17</v>
      </c>
      <c r="B18" t="s">
        <v>65</v>
      </c>
    </row>
    <row r="19" spans="1:2" x14ac:dyDescent="0.25">
      <c r="A19">
        <v>18</v>
      </c>
      <c r="B19" t="s">
        <v>66</v>
      </c>
    </row>
    <row r="20" spans="1:2" x14ac:dyDescent="0.25">
      <c r="A20">
        <v>19</v>
      </c>
      <c r="B20" t="s">
        <v>28</v>
      </c>
    </row>
    <row r="21" spans="1:2" x14ac:dyDescent="0.25">
      <c r="A21">
        <v>20</v>
      </c>
      <c r="B21" t="s">
        <v>27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67</v>
      </c>
    </row>
    <row r="24" spans="1:2" x14ac:dyDescent="0.25">
      <c r="A24">
        <v>23</v>
      </c>
      <c r="B24" t="s">
        <v>68</v>
      </c>
    </row>
    <row r="25" spans="1:2" x14ac:dyDescent="0.25">
      <c r="A25">
        <v>24</v>
      </c>
      <c r="B25" t="s">
        <v>14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70</v>
      </c>
    </row>
    <row r="29" spans="1:2" x14ac:dyDescent="0.25">
      <c r="A29">
        <v>28</v>
      </c>
      <c r="B29" t="s">
        <v>32</v>
      </c>
    </row>
    <row r="30" spans="1:2" x14ac:dyDescent="0.25">
      <c r="A30">
        <v>29</v>
      </c>
      <c r="B30" t="s">
        <v>51</v>
      </c>
    </row>
    <row r="31" spans="1:2" x14ac:dyDescent="0.25">
      <c r="A31">
        <v>30</v>
      </c>
      <c r="B31" s="5" t="s">
        <v>39</v>
      </c>
    </row>
    <row r="32" spans="1:2" x14ac:dyDescent="0.25">
      <c r="A32">
        <v>31</v>
      </c>
      <c r="B32" s="5" t="s">
        <v>71</v>
      </c>
    </row>
    <row r="33" spans="1:2" x14ac:dyDescent="0.25">
      <c r="A33">
        <v>32</v>
      </c>
      <c r="B33" t="s">
        <v>72</v>
      </c>
    </row>
    <row r="34" spans="1:2" x14ac:dyDescent="0.25">
      <c r="A34">
        <v>33</v>
      </c>
      <c r="B34" t="s">
        <v>36</v>
      </c>
    </row>
    <row r="35" spans="1:2" x14ac:dyDescent="0.25">
      <c r="A35">
        <v>34</v>
      </c>
      <c r="B35" t="s">
        <v>73</v>
      </c>
    </row>
    <row r="36" spans="1:2" x14ac:dyDescent="0.25">
      <c r="A36">
        <v>35</v>
      </c>
      <c r="B36" t="s">
        <v>74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75</v>
      </c>
    </row>
    <row r="39" spans="1:2" x14ac:dyDescent="0.25">
      <c r="A39">
        <v>38</v>
      </c>
      <c r="B39" t="s">
        <v>54</v>
      </c>
    </row>
    <row r="40" spans="1:2" x14ac:dyDescent="0.25">
      <c r="A40">
        <v>39</v>
      </c>
      <c r="B40" t="s">
        <v>48</v>
      </c>
    </row>
    <row r="41" spans="1:2" x14ac:dyDescent="0.25">
      <c r="A41">
        <v>40</v>
      </c>
      <c r="B41" t="s">
        <v>33</v>
      </c>
    </row>
    <row r="42" spans="1:2" x14ac:dyDescent="0.25">
      <c r="A42">
        <v>41</v>
      </c>
      <c r="B42" t="s">
        <v>43</v>
      </c>
    </row>
    <row r="43" spans="1:2" x14ac:dyDescent="0.25">
      <c r="A43">
        <v>42</v>
      </c>
      <c r="B43" t="s">
        <v>77</v>
      </c>
    </row>
    <row r="44" spans="1:2" x14ac:dyDescent="0.25">
      <c r="A44">
        <v>43</v>
      </c>
      <c r="B44" t="s">
        <v>76</v>
      </c>
    </row>
    <row r="45" spans="1:2" x14ac:dyDescent="0.25">
      <c r="A45">
        <v>44</v>
      </c>
      <c r="B45" t="s">
        <v>83</v>
      </c>
    </row>
    <row r="46" spans="1:2" x14ac:dyDescent="0.25">
      <c r="A46">
        <v>45</v>
      </c>
      <c r="B46" t="s">
        <v>80</v>
      </c>
    </row>
    <row r="47" spans="1:2" x14ac:dyDescent="0.25">
      <c r="A47">
        <v>46</v>
      </c>
      <c r="B47" t="s">
        <v>81</v>
      </c>
    </row>
    <row r="48" spans="1:2" x14ac:dyDescent="0.25">
      <c r="A48">
        <v>47</v>
      </c>
      <c r="B48" t="s">
        <v>79</v>
      </c>
    </row>
    <row r="49" spans="1:2" x14ac:dyDescent="0.25">
      <c r="A49">
        <v>48</v>
      </c>
      <c r="B49" t="s">
        <v>82</v>
      </c>
    </row>
    <row r="50" spans="1:2" x14ac:dyDescent="0.25">
      <c r="A50">
        <v>49</v>
      </c>
      <c r="B50" t="s">
        <v>78</v>
      </c>
    </row>
  </sheetData>
  <autoFilter ref="A1:B49" xr:uid="{00000000-0009-0000-0000-000004000000}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selection activeCell="C41" sqref="C41"/>
    </sheetView>
  </sheetViews>
  <sheetFormatPr baseColWidth="10" defaultRowHeight="15" x14ac:dyDescent="0.25"/>
  <sheetData>
    <row r="1" spans="1:2" x14ac:dyDescent="0.25">
      <c r="A1" t="s">
        <v>95</v>
      </c>
      <c r="B1" t="s">
        <v>96</v>
      </c>
    </row>
    <row r="2" spans="1:2" x14ac:dyDescent="0.25">
      <c r="A2">
        <v>1</v>
      </c>
      <c r="B2" t="s">
        <v>30</v>
      </c>
    </row>
    <row r="3" spans="1:2" x14ac:dyDescent="0.25">
      <c r="A3">
        <v>2</v>
      </c>
      <c r="B3" t="s">
        <v>19</v>
      </c>
    </row>
    <row r="4" spans="1:2" x14ac:dyDescent="0.25">
      <c r="A4">
        <v>3</v>
      </c>
      <c r="B4" t="s">
        <v>52</v>
      </c>
    </row>
    <row r="5" spans="1:2" x14ac:dyDescent="0.25">
      <c r="A5">
        <v>4</v>
      </c>
      <c r="B5" t="s">
        <v>20</v>
      </c>
    </row>
    <row r="6" spans="1:2" x14ac:dyDescent="0.25">
      <c r="A6">
        <v>0</v>
      </c>
      <c r="B6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>
      <selection activeCell="D6" sqref="D6"/>
    </sheetView>
  </sheetViews>
  <sheetFormatPr baseColWidth="10" defaultRowHeight="15" x14ac:dyDescent="0.25"/>
  <cols>
    <col min="1" max="1" width="15.42578125" style="13" customWidth="1"/>
    <col min="2" max="2" width="21.7109375" style="13" customWidth="1"/>
  </cols>
  <sheetData>
    <row r="1" spans="1:6" ht="45" customHeight="1" x14ac:dyDescent="0.25">
      <c r="A1" t="s">
        <v>97</v>
      </c>
      <c r="B1" t="s">
        <v>98</v>
      </c>
      <c r="C1" s="1" t="s">
        <v>99</v>
      </c>
      <c r="D1" s="1" t="s">
        <v>100</v>
      </c>
      <c r="E1" s="1" t="s">
        <v>101</v>
      </c>
    </row>
    <row r="2" spans="1:6" x14ac:dyDescent="0.25">
      <c r="A2" s="12">
        <v>46069</v>
      </c>
      <c r="B2" s="12" t="str">
        <f t="shared" ref="B2:B21" si="0">TEXT(A2,"dd mmm")&amp;" al "&amp;TEXT(A2+6,"dd mmm")</f>
        <v>16 feb al 22 feb</v>
      </c>
      <c r="C2" s="1">
        <v>900</v>
      </c>
      <c r="D2" s="1">
        <v>238</v>
      </c>
      <c r="E2" s="1">
        <f t="shared" ref="E2:E16" si="1">C2-D2</f>
        <v>662</v>
      </c>
      <c r="F2" s="1">
        <v>1150</v>
      </c>
    </row>
    <row r="3" spans="1:6" x14ac:dyDescent="0.25">
      <c r="A3" s="12">
        <f t="shared" ref="A3:A21" si="2">A2+7</f>
        <v>46076</v>
      </c>
      <c r="B3" s="12" t="str">
        <f t="shared" si="0"/>
        <v>23 feb al 01 mar</v>
      </c>
      <c r="C3" s="1">
        <f>$C$2+E2</f>
        <v>1562</v>
      </c>
      <c r="D3" s="1">
        <v>838</v>
      </c>
      <c r="E3" s="1">
        <f t="shared" si="1"/>
        <v>724</v>
      </c>
      <c r="F3">
        <v>1290</v>
      </c>
    </row>
    <row r="4" spans="1:6" x14ac:dyDescent="0.25">
      <c r="A4" s="12">
        <f t="shared" si="2"/>
        <v>46083</v>
      </c>
      <c r="B4" s="12" t="str">
        <f t="shared" si="0"/>
        <v>02 mar al 08 mar</v>
      </c>
      <c r="C4" s="1">
        <f>$C$2+E3</f>
        <v>1624</v>
      </c>
      <c r="D4" s="1">
        <v>604</v>
      </c>
      <c r="E4" s="1">
        <f t="shared" si="1"/>
        <v>1020</v>
      </c>
    </row>
    <row r="5" spans="1:6" x14ac:dyDescent="0.25">
      <c r="A5" s="12">
        <f t="shared" si="2"/>
        <v>46090</v>
      </c>
      <c r="B5" s="12" t="str">
        <f t="shared" si="0"/>
        <v>09 mar al 15 mar</v>
      </c>
      <c r="C5" s="1">
        <f>$C$2+E4</f>
        <v>1920</v>
      </c>
      <c r="D5" s="1">
        <v>1201</v>
      </c>
      <c r="E5" s="1">
        <f t="shared" si="1"/>
        <v>719</v>
      </c>
    </row>
    <row r="6" spans="1:6" x14ac:dyDescent="0.25">
      <c r="A6" s="12">
        <f t="shared" si="2"/>
        <v>46097</v>
      </c>
      <c r="B6" s="12" t="str">
        <f t="shared" si="0"/>
        <v>16 mar al 22 mar</v>
      </c>
      <c r="C6" s="1">
        <f>$C$2+E5</f>
        <v>1619</v>
      </c>
      <c r="D6" s="1">
        <v>919</v>
      </c>
      <c r="E6" s="1">
        <f t="shared" si="1"/>
        <v>700</v>
      </c>
    </row>
    <row r="7" spans="1:6" x14ac:dyDescent="0.25">
      <c r="A7" s="12">
        <f t="shared" si="2"/>
        <v>46104</v>
      </c>
      <c r="B7" s="12" t="str">
        <f t="shared" si="0"/>
        <v>23 mar al 29 mar</v>
      </c>
      <c r="C7" s="1">
        <f>$C$2+E6</f>
        <v>1600</v>
      </c>
      <c r="D7" s="1">
        <v>297</v>
      </c>
      <c r="E7" s="1">
        <f t="shared" si="1"/>
        <v>1303</v>
      </c>
    </row>
    <row r="8" spans="1:6" x14ac:dyDescent="0.25">
      <c r="A8" s="12">
        <f t="shared" si="2"/>
        <v>46111</v>
      </c>
      <c r="B8" s="12" t="str">
        <f t="shared" si="0"/>
        <v>30 mar al 05 abr</v>
      </c>
      <c r="C8" s="1">
        <f t="shared" ref="C8:C16" si="3">$F$2+E7</f>
        <v>2453</v>
      </c>
      <c r="D8" s="1">
        <v>1200</v>
      </c>
      <c r="E8" s="1">
        <f t="shared" si="1"/>
        <v>1253</v>
      </c>
    </row>
    <row r="9" spans="1:6" x14ac:dyDescent="0.25">
      <c r="A9" s="12">
        <f t="shared" si="2"/>
        <v>46118</v>
      </c>
      <c r="B9" s="12" t="str">
        <f t="shared" si="0"/>
        <v>06 abr al 12 abr</v>
      </c>
      <c r="C9" s="1">
        <f t="shared" si="3"/>
        <v>2403</v>
      </c>
      <c r="D9" s="1">
        <v>1040</v>
      </c>
      <c r="E9" s="1">
        <f t="shared" si="1"/>
        <v>1363</v>
      </c>
    </row>
    <row r="10" spans="1:6" x14ac:dyDescent="0.25">
      <c r="A10" s="12">
        <f t="shared" si="2"/>
        <v>46125</v>
      </c>
      <c r="B10" s="12" t="str">
        <f t="shared" si="0"/>
        <v>13 abr al 19 abr</v>
      </c>
      <c r="C10" s="1">
        <f t="shared" si="3"/>
        <v>2513</v>
      </c>
      <c r="D10" s="1">
        <v>789</v>
      </c>
      <c r="E10" s="1">
        <f t="shared" si="1"/>
        <v>1724</v>
      </c>
    </row>
    <row r="11" spans="1:6" x14ac:dyDescent="0.25">
      <c r="A11" s="12">
        <f t="shared" si="2"/>
        <v>46132</v>
      </c>
      <c r="B11" s="12" t="str">
        <f t="shared" si="0"/>
        <v>20 abr al 26 abr</v>
      </c>
      <c r="C11" s="1">
        <f t="shared" si="3"/>
        <v>2874</v>
      </c>
      <c r="D11" s="1">
        <v>336</v>
      </c>
      <c r="E11" s="1">
        <f t="shared" si="1"/>
        <v>2538</v>
      </c>
    </row>
    <row r="12" spans="1:6" x14ac:dyDescent="0.25">
      <c r="A12" s="12">
        <f t="shared" si="2"/>
        <v>46139</v>
      </c>
      <c r="B12" s="12" t="str">
        <f t="shared" si="0"/>
        <v>27 abr al 03 may</v>
      </c>
      <c r="C12" s="1">
        <f t="shared" si="3"/>
        <v>3688</v>
      </c>
      <c r="D12" s="1">
        <v>1060</v>
      </c>
      <c r="E12" s="1">
        <f t="shared" si="1"/>
        <v>2628</v>
      </c>
    </row>
    <row r="13" spans="1:6" x14ac:dyDescent="0.25">
      <c r="A13" s="12">
        <f t="shared" si="2"/>
        <v>46146</v>
      </c>
      <c r="B13" s="12" t="str">
        <f t="shared" si="0"/>
        <v>04 may al 10 may</v>
      </c>
      <c r="C13" s="1">
        <f t="shared" si="3"/>
        <v>3778</v>
      </c>
      <c r="D13" s="1">
        <v>872</v>
      </c>
      <c r="E13" s="1">
        <f t="shared" si="1"/>
        <v>2906</v>
      </c>
    </row>
    <row r="14" spans="1:6" x14ac:dyDescent="0.25">
      <c r="A14" s="12">
        <f t="shared" si="2"/>
        <v>46153</v>
      </c>
      <c r="B14" s="12" t="str">
        <f t="shared" si="0"/>
        <v>11 may al 17 may</v>
      </c>
      <c r="C14" s="1">
        <f t="shared" si="3"/>
        <v>4056</v>
      </c>
      <c r="D14" s="1">
        <v>1167</v>
      </c>
      <c r="E14" s="1">
        <f t="shared" si="1"/>
        <v>2889</v>
      </c>
    </row>
    <row r="15" spans="1:6" x14ac:dyDescent="0.25">
      <c r="A15" s="12">
        <f t="shared" si="2"/>
        <v>46160</v>
      </c>
      <c r="B15" s="12" t="str">
        <f t="shared" si="0"/>
        <v>18 may al 24 may</v>
      </c>
      <c r="C15" s="1">
        <f t="shared" si="3"/>
        <v>4039</v>
      </c>
      <c r="D15" s="1">
        <v>270</v>
      </c>
      <c r="E15" s="1">
        <f t="shared" si="1"/>
        <v>3769</v>
      </c>
    </row>
    <row r="16" spans="1:6" x14ac:dyDescent="0.25">
      <c r="A16" s="12">
        <f t="shared" si="2"/>
        <v>46167</v>
      </c>
      <c r="B16" s="12" t="str">
        <f t="shared" si="0"/>
        <v>25 may al 31 may</v>
      </c>
      <c r="C16" s="1">
        <f t="shared" si="3"/>
        <v>4919</v>
      </c>
      <c r="D16" s="1">
        <v>2905</v>
      </c>
      <c r="E16" s="1">
        <f t="shared" si="1"/>
        <v>2014</v>
      </c>
    </row>
    <row r="17" spans="1:3" x14ac:dyDescent="0.25">
      <c r="A17" s="12">
        <f t="shared" si="2"/>
        <v>46174</v>
      </c>
      <c r="B17" s="12" t="str">
        <f t="shared" si="0"/>
        <v>01 jun al 07 jun</v>
      </c>
      <c r="C17" s="1">
        <f>$F$3+E16</f>
        <v>3304</v>
      </c>
    </row>
    <row r="18" spans="1:3" x14ac:dyDescent="0.25">
      <c r="A18" s="12">
        <f t="shared" si="2"/>
        <v>46181</v>
      </c>
      <c r="B18" s="12" t="str">
        <f t="shared" si="0"/>
        <v>08 jun al 14 jun</v>
      </c>
    </row>
    <row r="19" spans="1:3" x14ac:dyDescent="0.25">
      <c r="A19" s="12">
        <f t="shared" si="2"/>
        <v>46188</v>
      </c>
      <c r="B19" s="12" t="str">
        <f t="shared" si="0"/>
        <v>15 jun al 21 jun</v>
      </c>
    </row>
    <row r="20" spans="1:3" x14ac:dyDescent="0.25">
      <c r="A20" s="12">
        <f t="shared" si="2"/>
        <v>46195</v>
      </c>
      <c r="B20" s="12" t="str">
        <f t="shared" si="0"/>
        <v>22 jun al 28 jun</v>
      </c>
    </row>
    <row r="21" spans="1:3" x14ac:dyDescent="0.25">
      <c r="A21" s="12">
        <f t="shared" si="2"/>
        <v>46202</v>
      </c>
      <c r="B21" s="12" t="str">
        <f t="shared" si="0"/>
        <v>29 jun al 05 jul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>
      <selection activeCell="G11" sqref="G11"/>
    </sheetView>
  </sheetViews>
  <sheetFormatPr baseColWidth="10" defaultRowHeight="15" x14ac:dyDescent="0.25"/>
  <sheetData>
    <row r="1" spans="1:4" x14ac:dyDescent="0.25">
      <c r="A1" s="8" t="s">
        <v>97</v>
      </c>
      <c r="B1" s="9" t="s">
        <v>102</v>
      </c>
      <c r="C1" s="9" t="s">
        <v>103</v>
      </c>
      <c r="D1" s="9" t="s">
        <v>104</v>
      </c>
    </row>
    <row r="2" spans="1:4" x14ac:dyDescent="0.25">
      <c r="A2" s="12">
        <v>46014</v>
      </c>
      <c r="B2" s="10">
        <v>7500</v>
      </c>
      <c r="C2" s="10">
        <v>37500</v>
      </c>
      <c r="D2" s="10">
        <f>SUM(B2:C2)</f>
        <v>45000</v>
      </c>
    </row>
    <row r="3" spans="1:4" x14ac:dyDescent="0.25">
      <c r="A3" s="12">
        <v>46045</v>
      </c>
      <c r="B3" s="10">
        <v>2300</v>
      </c>
      <c r="C3" s="10">
        <f>41185+2426</f>
        <v>43611</v>
      </c>
      <c r="D3" s="10">
        <f>B3+C3</f>
        <v>45911</v>
      </c>
    </row>
    <row r="4" spans="1:4" x14ac:dyDescent="0.25">
      <c r="A4" s="12">
        <v>46076</v>
      </c>
      <c r="B4" s="10">
        <v>5200</v>
      </c>
      <c r="C4" s="10">
        <v>51000</v>
      </c>
      <c r="D4" s="10">
        <f>B4+C4</f>
        <v>56200</v>
      </c>
    </row>
    <row r="5" spans="1:4" x14ac:dyDescent="0.25">
      <c r="A5" s="12">
        <v>46104</v>
      </c>
      <c r="B5" s="10">
        <v>1655</v>
      </c>
      <c r="C5" s="10">
        <v>56501</v>
      </c>
      <c r="D5" s="10">
        <f>B5+C5</f>
        <v>58156</v>
      </c>
    </row>
    <row r="6" spans="1:4" x14ac:dyDescent="0.25">
      <c r="A6" s="12">
        <v>46135</v>
      </c>
      <c r="B6" s="10">
        <v>1500</v>
      </c>
      <c r="C6" s="10">
        <v>62345</v>
      </c>
      <c r="D6" s="10">
        <f>B6+C6</f>
        <v>63845</v>
      </c>
    </row>
    <row r="7" spans="1:4" x14ac:dyDescent="0.25">
      <c r="A7" s="12">
        <v>46165</v>
      </c>
      <c r="B7" s="10">
        <v>1100</v>
      </c>
      <c r="C7" s="11">
        <v>66683</v>
      </c>
      <c r="D7" s="10">
        <v>67783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95"/>
  <sheetViews>
    <sheetView workbookViewId="0">
      <selection activeCell="L16" sqref="L16"/>
    </sheetView>
  </sheetViews>
  <sheetFormatPr baseColWidth="10" defaultRowHeight="15" x14ac:dyDescent="0.25"/>
  <cols>
    <col min="1" max="1" width="14.85546875" style="13" bestFit="1" customWidth="1"/>
    <col min="2" max="2" width="11.28515625" style="13" bestFit="1" customWidth="1"/>
    <col min="3" max="3" width="7.5703125" style="13" bestFit="1" customWidth="1"/>
    <col min="4" max="4" width="9.28515625" style="13" bestFit="1" customWidth="1"/>
    <col min="5" max="5" width="10.5703125" style="13" bestFit="1" customWidth="1"/>
    <col min="6" max="6" width="9" style="13" bestFit="1" customWidth="1"/>
    <col min="7" max="7" width="12.5703125" style="13" bestFit="1" customWidth="1"/>
  </cols>
  <sheetData>
    <row r="1" spans="1:2" x14ac:dyDescent="0.25">
      <c r="A1" s="4" t="s">
        <v>13</v>
      </c>
      <c r="B1" t="s">
        <v>19</v>
      </c>
    </row>
    <row r="2" spans="1:2" x14ac:dyDescent="0.25">
      <c r="A2" s="4" t="s">
        <v>10</v>
      </c>
      <c r="B2" t="s">
        <v>16</v>
      </c>
    </row>
    <row r="3" spans="1:2" x14ac:dyDescent="0.25">
      <c r="A3" s="4" t="s">
        <v>1</v>
      </c>
      <c r="B3" t="s">
        <v>105</v>
      </c>
    </row>
    <row r="4" spans="1:2" x14ac:dyDescent="0.25">
      <c r="A4" s="4" t="s">
        <v>106</v>
      </c>
      <c r="B4" t="s">
        <v>105</v>
      </c>
    </row>
    <row r="5" spans="1:2" x14ac:dyDescent="0.25">
      <c r="A5" s="4" t="s">
        <v>107</v>
      </c>
      <c r="B5" t="s">
        <v>105</v>
      </c>
    </row>
    <row r="7" spans="1:2" x14ac:dyDescent="0.25">
      <c r="A7" t="s">
        <v>108</v>
      </c>
    </row>
    <row r="8" spans="1:2" x14ac:dyDescent="0.25">
      <c r="A8">
        <v>30711</v>
      </c>
    </row>
    <row r="67" spans="7:7" x14ac:dyDescent="0.25">
      <c r="G67" s="6"/>
    </row>
    <row r="68" spans="7:7" x14ac:dyDescent="0.25">
      <c r="G68" s="6"/>
    </row>
    <row r="69" spans="7:7" x14ac:dyDescent="0.25">
      <c r="G69" s="3"/>
    </row>
    <row r="188" spans="6:9" x14ac:dyDescent="0.25">
      <c r="F188" s="6"/>
      <c r="I188" s="6"/>
    </row>
    <row r="189" spans="6:9" x14ac:dyDescent="0.25">
      <c r="F189" s="6"/>
      <c r="I189" s="6"/>
    </row>
    <row r="190" spans="6:9" x14ac:dyDescent="0.25">
      <c r="F190" s="6"/>
      <c r="I190" s="6"/>
    </row>
    <row r="191" spans="6:9" x14ac:dyDescent="0.25">
      <c r="F191" s="6"/>
      <c r="I191" s="6"/>
    </row>
    <row r="192" spans="6:9" x14ac:dyDescent="0.25">
      <c r="F192" s="6"/>
      <c r="I192" s="6"/>
    </row>
    <row r="193" spans="6:9" x14ac:dyDescent="0.25">
      <c r="F193" s="6"/>
      <c r="I193" s="6"/>
    </row>
    <row r="194" spans="6:9" x14ac:dyDescent="0.25">
      <c r="F194" s="6"/>
      <c r="I194" s="6"/>
    </row>
    <row r="195" spans="6:9" x14ac:dyDescent="0.25">
      <c r="F195" s="6"/>
      <c r="I19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Transacciones_fact</vt:lpstr>
      <vt:lpstr>Categorias</vt:lpstr>
      <vt:lpstr>Tipo</vt:lpstr>
      <vt:lpstr>Cuentas</vt:lpstr>
      <vt:lpstr>Detalle</vt:lpstr>
      <vt:lpstr>Control</vt:lpstr>
      <vt:lpstr>Disponible_desnormalizada</vt:lpstr>
      <vt:lpstr>Dinero_total_desnormalizado</vt:lpstr>
      <vt:lpstr>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PC-R5</dc:creator>
  <cp:lastModifiedBy>jesus munguia</cp:lastModifiedBy>
  <dcterms:created xsi:type="dcterms:W3CDTF">2015-06-05T18:19:34Z</dcterms:created>
  <dcterms:modified xsi:type="dcterms:W3CDTF">2026-06-07T15:58:42Z</dcterms:modified>
</cp:coreProperties>
</file>